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8_{44EA46A2-216D-497D-89E4-D95793B3984A}" xr6:coauthVersionLast="47" xr6:coauthVersionMax="47" xr10:uidLastSave="{00000000-0000-0000-0000-000000000000}"/>
  <bookViews>
    <workbookView xWindow="20370" yWindow="-120" windowWidth="29040" windowHeight="15990" xr2:uid="{8324E86E-890B-49CB-A96D-AEFB635D625D}"/>
  </bookViews>
  <sheets>
    <sheet name="Recap" sheetId="1" r:id="rId1"/>
    <sheet name="Karabo Mishaba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1" l="1"/>
  <c r="E98" i="1"/>
  <c r="E97" i="1"/>
  <c r="E96" i="1"/>
  <c r="E95" i="1"/>
  <c r="D99" i="1"/>
  <c r="D98" i="1"/>
  <c r="D97" i="1"/>
  <c r="D96" i="1"/>
  <c r="D95" i="1"/>
  <c r="C99" i="1"/>
  <c r="C98" i="1" l="1"/>
  <c r="C97" i="1"/>
  <c r="C96" i="1"/>
  <c r="C95" i="1"/>
  <c r="I83" i="1"/>
  <c r="H83" i="1"/>
  <c r="G83" i="1"/>
  <c r="F83" i="1"/>
  <c r="I82" i="1"/>
  <c r="H82" i="1"/>
  <c r="G82" i="1"/>
  <c r="F82" i="1"/>
  <c r="I81" i="1"/>
  <c r="H81" i="1"/>
  <c r="G81" i="1"/>
  <c r="F81" i="1"/>
  <c r="H80" i="1"/>
  <c r="G80" i="1"/>
  <c r="F80" i="1"/>
  <c r="H79" i="1"/>
  <c r="G79" i="1"/>
  <c r="F79" i="1"/>
</calcChain>
</file>

<file path=xl/sharedStrings.xml><?xml version="1.0" encoding="utf-8"?>
<sst xmlns="http://schemas.openxmlformats.org/spreadsheetml/2006/main" count="167" uniqueCount="68">
  <si>
    <t>0-500</t>
  </si>
  <si>
    <t>500-999</t>
  </si>
  <si>
    <t>1000-1999</t>
  </si>
  <si>
    <t>Qtys</t>
  </si>
  <si>
    <t>2000-2999</t>
  </si>
  <si>
    <t>3000-4999</t>
  </si>
  <si>
    <t>SY or SF</t>
  </si>
  <si>
    <t>Carpet Rolls BL</t>
  </si>
  <si>
    <t>Carpet Tiles</t>
  </si>
  <si>
    <t>LVP</t>
  </si>
  <si>
    <t>LVT</t>
  </si>
  <si>
    <t>VCT</t>
  </si>
  <si>
    <t>vendor</t>
  </si>
  <si>
    <t>5000 - 9999</t>
  </si>
  <si>
    <t>10000 &gt;</t>
  </si>
  <si>
    <t>NC</t>
  </si>
  <si>
    <t>assume "vendor" is XGS agreed pricing</t>
  </si>
  <si>
    <t>Below is from the deck you shared on 6/03/25 - Norcross Historic Freight Rates</t>
  </si>
  <si>
    <t>Questions-</t>
  </si>
  <si>
    <t>The stated unit cost is inclusive of any additional charges, fuel surcharge, etc. ?</t>
  </si>
  <si>
    <t>What geography is this based upon? Assume this is any GA based manufacturer?</t>
  </si>
  <si>
    <t>Your expectation is that we utilize these rates and add margin that would be retained by the location?</t>
  </si>
  <si>
    <t>Future state - project would receive the marked up rates and balance would be in a freight accrual account for the location?</t>
  </si>
  <si>
    <t>VCT has minimal consequence as it is delivered by the distributor (smaller qtys) or in truckload direct from manufacturer.</t>
  </si>
  <si>
    <t xml:space="preserve">You mentioned setting up Product Ids that would have attached freight - this would indicate that intent is to have a single cost for each commodity? </t>
  </si>
  <si>
    <t>2A</t>
  </si>
  <si>
    <t>Biddle comparison = $50.00 for a pallet (2002.56 sf)  or $0.02496 psft. Job is currently charged $0.12 psf which results in $190.30 GP$ gain. Understand that your data indicates that Biddle is small portion of overall freight cost.</t>
  </si>
  <si>
    <t>3A</t>
  </si>
  <si>
    <t>Biddle comparison = $50.00 for a pallet (160.00 sy)  or $0.3125 psy. Job is currently charged $0.45 psy which results in $22.00 GP$ gain. Understand that your data indicates that Biddle is small portion of overall freight cost.</t>
  </si>
  <si>
    <r>
      <t xml:space="preserve">Example - single pallet of LVT has 2002.56 SF. Invoice from XGS would reflect 2002.56 X </t>
    </r>
    <r>
      <rPr>
        <sz val="8"/>
        <color rgb="FFFF0000"/>
        <rFont val="Aptos Narrow"/>
        <family val="2"/>
        <scheme val="minor"/>
      </rPr>
      <t>$0.1388</t>
    </r>
    <r>
      <rPr>
        <sz val="8"/>
        <color theme="1"/>
        <rFont val="Aptos Narrow"/>
        <family val="2"/>
        <scheme val="minor"/>
      </rPr>
      <t xml:space="preserve"> psf = $277.95?</t>
    </r>
  </si>
  <si>
    <r>
      <t xml:space="preserve">Example - single pallet of Cpt Tile has 160 SY. Invoice from XGS would reflect 160 .00 X </t>
    </r>
    <r>
      <rPr>
        <sz val="8"/>
        <color theme="3" tint="0.499984740745262"/>
        <rFont val="Aptos Narrow"/>
        <family val="2"/>
        <scheme val="minor"/>
      </rPr>
      <t>$0.7456</t>
    </r>
    <r>
      <rPr>
        <sz val="8"/>
        <color theme="1"/>
        <rFont val="Aptos Narrow"/>
        <family val="2"/>
        <scheme val="minor"/>
      </rPr>
      <t xml:space="preserve"> = $119.29?</t>
    </r>
  </si>
  <si>
    <t>5A</t>
  </si>
  <si>
    <t>If rates are based upon Ga manufacturers only - can we get quoted rates from XGS if we identify shipping destination from other manufacturers?</t>
  </si>
  <si>
    <r>
      <t xml:space="preserve">Are you advocating that we set a single unit cost for each of the five commodities </t>
    </r>
    <r>
      <rPr>
        <b/>
        <sz val="8"/>
        <color theme="1"/>
        <rFont val="Aptos Narrow"/>
        <family val="2"/>
        <scheme val="minor"/>
      </rPr>
      <t>or provide AEs (sales) with a table to be used based upon quantities?</t>
    </r>
  </si>
  <si>
    <r>
      <t xml:space="preserve">Verify my understanding - the freight cost illustrated in the below table as </t>
    </r>
    <r>
      <rPr>
        <sz val="8"/>
        <color rgb="FF00B050"/>
        <rFont val="Aptos Narrow"/>
        <family val="2"/>
        <scheme val="minor"/>
      </rPr>
      <t>"vendor"</t>
    </r>
    <r>
      <rPr>
        <sz val="8"/>
        <color theme="1"/>
        <rFont val="Aptos Narrow"/>
        <family val="2"/>
        <scheme val="minor"/>
      </rPr>
      <t xml:space="preserve"> are the XGS rates?</t>
    </r>
  </si>
  <si>
    <t>10A</t>
  </si>
  <si>
    <t>Example - a 53 foot trailer can hold a maximum of 26 pallets of cpt tile (4160 SY). 4160 sy X $0.6928 (using rate below) = $2882.04</t>
  </si>
  <si>
    <t>10B</t>
  </si>
  <si>
    <t>Biddle comparison = $750.00 flat rate for a truckload (4160  sy) or $0.1802 psy. Job is currently charged $0.45 psy or $1872.00 which results in $1122 GP$ gain. Understand that your data indicates that Biddle is small portion of overall freight cost.</t>
  </si>
  <si>
    <t>Simplified version</t>
  </si>
  <si>
    <t>1000 &gt;</t>
  </si>
  <si>
    <t>How would truckloads work with XGS? Is it weight based? Or do we simply apply the below rates based upon qty? Call for truckload based upon what qtys or weight?</t>
  </si>
  <si>
    <t>Value of burden</t>
  </si>
  <si>
    <t>* in order to undertand the "historical avg" shown in table would need to see the actual invoices utilized for this data.</t>
  </si>
  <si>
    <t>Using LVT for example - indicates that 33 total invoices were used with 17 or 51% being from 0 - 1000 sf categories.</t>
  </si>
  <si>
    <t>Below table reflects XGS cost above and adds a 20% margin or burden to actual cost</t>
  </si>
  <si>
    <t>My primary intent is to understand what you are trying to achieve?</t>
  </si>
  <si>
    <t>In past we made $ on freight using freight accrual account - SF/IFS would not support this same methodology - product codes with attached freight costs.</t>
  </si>
  <si>
    <t>Currently, the project receives the freight benefit and AEs margin and susbsequent commissions are elevated.</t>
  </si>
  <si>
    <t>We cannot simply assign a freight value with expectation to generate "internal" profit and not consider that we must remain competitive with the market.</t>
  </si>
  <si>
    <t>Below is from files shared by Karabo Mishabane - update SW freight files</t>
  </si>
  <si>
    <t>Not sure what "SPTM" means?</t>
  </si>
  <si>
    <t>Current Ga Manuf</t>
  </si>
  <si>
    <t>Rates</t>
  </si>
  <si>
    <t>Distributor delivered</t>
  </si>
  <si>
    <t>?</t>
  </si>
  <si>
    <t>Files would indicate that 221 sample invoices were reviewed (for various qtys) - is this a broad enough data review?</t>
  </si>
  <si>
    <t>LVT is SQFT</t>
  </si>
  <si>
    <t>FSC yes and rebates</t>
  </si>
  <si>
    <t>GA based manufacturer - for GA mills. Historical is country wide</t>
  </si>
  <si>
    <t>Gregg input</t>
  </si>
  <si>
    <t>CPT/CBL is SQYD</t>
  </si>
  <si>
    <t>Yes - but this was before application of rebates and FSC therefore at that time was not accurate to use for analysis</t>
  </si>
  <si>
    <t>Which commodity?</t>
  </si>
  <si>
    <t>Sampling criteria was tight</t>
  </si>
  <si>
    <t>LVP (SF)</t>
  </si>
  <si>
    <t>LVT(SF)</t>
  </si>
  <si>
    <t>VCT(SF)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</si>
</sst>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3" tint="0.499984740745262"/>
      <name val="Aptos Narrow"/>
      <family val="2"/>
      <scheme val="minor"/>
    </font>
    <font>
      <sz val="8"/>
      <color rgb="FF00B050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4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49823</xdr:colOff>
      <xdr:row>34</xdr:row>
      <xdr:rowOff>159286</xdr:rowOff>
    </xdr:from>
    <xdr:to>
      <xdr:col>2</xdr:col>
      <xdr:colOff>1268483</xdr:colOff>
      <xdr:row>66</xdr:row>
      <xdr:rowOff>1464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D2590-E5A4-CA2A-E85D-17F6D5B8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948" y="8207911"/>
          <a:ext cx="6914610" cy="59381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16</xdr:col>
      <xdr:colOff>204165</xdr:colOff>
      <xdr:row>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36AB1-6D9F-EB06-53E3-16AC3FE98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65760"/>
          <a:ext cx="9348164" cy="530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D9F9-637B-4023-902B-241D491851FE}">
  <dimension ref="A1:R108"/>
  <sheetViews>
    <sheetView tabSelected="1" topLeftCell="A33" zoomScaleNormal="100" workbookViewId="0">
      <selection activeCell="C85" sqref="C85:E91"/>
    </sheetView>
  </sheetViews>
  <sheetFormatPr defaultRowHeight="15" x14ac:dyDescent="0.25"/>
  <cols>
    <col min="1" max="1" width="15" style="32" bestFit="1" customWidth="1"/>
    <col min="2" max="2" width="85.42578125" style="17" customWidth="1"/>
    <col min="3" max="3" width="41.140625" bestFit="1" customWidth="1"/>
    <col min="7" max="7" width="11.42578125" customWidth="1"/>
    <col min="10" max="10" width="22.7109375" customWidth="1"/>
    <col min="11" max="11" width="11" customWidth="1"/>
  </cols>
  <sheetData>
    <row r="1" spans="1:14" x14ac:dyDescent="0.25">
      <c r="A1" s="7" t="s">
        <v>18</v>
      </c>
    </row>
    <row r="2" spans="1:14" x14ac:dyDescent="0.25">
      <c r="A2" s="7"/>
      <c r="B2" s="18" t="s">
        <v>46</v>
      </c>
    </row>
    <row r="3" spans="1:14" ht="23.25" x14ac:dyDescent="0.25">
      <c r="A3" s="7"/>
      <c r="B3" s="18" t="s">
        <v>47</v>
      </c>
    </row>
    <row r="4" spans="1:14" ht="23.25" x14ac:dyDescent="0.25">
      <c r="A4" s="7"/>
      <c r="B4" s="18" t="s">
        <v>48</v>
      </c>
    </row>
    <row r="5" spans="1:14" ht="23.25" x14ac:dyDescent="0.25">
      <c r="A5" s="7"/>
      <c r="B5" s="18" t="s">
        <v>49</v>
      </c>
    </row>
    <row r="6" spans="1:14" x14ac:dyDescent="0.25">
      <c r="A6" s="7"/>
    </row>
    <row r="7" spans="1:14" x14ac:dyDescent="0.25">
      <c r="A7" s="29">
        <v>1</v>
      </c>
      <c r="B7" s="19" t="s">
        <v>34</v>
      </c>
      <c r="C7" s="1" t="s">
        <v>62</v>
      </c>
      <c r="D7" s="1"/>
      <c r="E7" s="1"/>
      <c r="F7" s="1"/>
      <c r="G7" s="1"/>
      <c r="H7" s="1"/>
      <c r="I7" s="1"/>
      <c r="J7" s="1"/>
      <c r="K7" s="1"/>
    </row>
    <row r="8" spans="1:14" ht="23.25" x14ac:dyDescent="0.25">
      <c r="A8" s="30">
        <v>2</v>
      </c>
      <c r="B8" s="19" t="s">
        <v>29</v>
      </c>
      <c r="C8" s="1" t="s">
        <v>57</v>
      </c>
      <c r="D8" s="1"/>
      <c r="E8" s="1"/>
      <c r="F8" s="1"/>
      <c r="G8" s="1"/>
      <c r="H8" s="1"/>
      <c r="I8" s="1"/>
      <c r="J8" s="1"/>
      <c r="K8" s="1"/>
      <c r="N8" s="3"/>
    </row>
    <row r="9" spans="1:14" ht="23.25" x14ac:dyDescent="0.25">
      <c r="A9" s="30" t="s">
        <v>25</v>
      </c>
      <c r="B9" s="27" t="s">
        <v>26</v>
      </c>
      <c r="C9" s="28" t="s">
        <v>63</v>
      </c>
      <c r="K9" s="1"/>
      <c r="N9" s="3"/>
    </row>
    <row r="10" spans="1:14" x14ac:dyDescent="0.25">
      <c r="A10" s="30">
        <v>3</v>
      </c>
      <c r="B10" s="19" t="s">
        <v>30</v>
      </c>
      <c r="C10" s="1" t="s">
        <v>61</v>
      </c>
      <c r="K10" s="1"/>
      <c r="N10" s="3"/>
    </row>
    <row r="11" spans="1:14" ht="23.25" x14ac:dyDescent="0.25">
      <c r="A11" s="30" t="s">
        <v>27</v>
      </c>
      <c r="B11" s="27" t="s">
        <v>28</v>
      </c>
      <c r="C11" s="28" t="s">
        <v>63</v>
      </c>
      <c r="K11" s="1"/>
      <c r="N11" s="3"/>
    </row>
    <row r="12" spans="1:14" x14ac:dyDescent="0.25">
      <c r="A12" s="29">
        <v>4</v>
      </c>
      <c r="B12" s="19" t="s">
        <v>19</v>
      </c>
      <c r="C12" s="1" t="s">
        <v>58</v>
      </c>
      <c r="D12" s="1"/>
      <c r="E12" s="1"/>
      <c r="F12" s="1"/>
      <c r="G12" s="1"/>
      <c r="H12" s="1"/>
      <c r="I12" s="1"/>
      <c r="J12" s="1"/>
      <c r="K12" s="1"/>
      <c r="N12" s="3"/>
    </row>
    <row r="13" spans="1:14" x14ac:dyDescent="0.25">
      <c r="A13" s="29">
        <v>5</v>
      </c>
      <c r="B13" s="19" t="s">
        <v>20</v>
      </c>
      <c r="C13" s="1" t="s">
        <v>59</v>
      </c>
      <c r="D13" s="1"/>
      <c r="E13" s="1"/>
      <c r="F13" s="1"/>
      <c r="G13" s="1"/>
      <c r="H13" s="1"/>
      <c r="I13" s="1"/>
      <c r="J13" s="1"/>
      <c r="K13" s="1"/>
      <c r="N13" s="3"/>
    </row>
    <row r="14" spans="1:14" ht="23.25" x14ac:dyDescent="0.25">
      <c r="A14" s="29" t="s">
        <v>31</v>
      </c>
      <c r="B14" s="19" t="s">
        <v>32</v>
      </c>
      <c r="C14" s="1" t="s">
        <v>60</v>
      </c>
      <c r="K14" s="1"/>
      <c r="N14" s="3"/>
    </row>
    <row r="15" spans="1:14" x14ac:dyDescent="0.25">
      <c r="A15" s="31">
        <v>6</v>
      </c>
      <c r="B15" s="19" t="s">
        <v>21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N15" s="3"/>
    </row>
    <row r="16" spans="1:14" ht="23.25" x14ac:dyDescent="0.25">
      <c r="A16" s="31">
        <v>7</v>
      </c>
      <c r="B16" s="19" t="s">
        <v>22</v>
      </c>
      <c r="C16" s="1" t="s">
        <v>60</v>
      </c>
      <c r="D16" s="1"/>
      <c r="E16" s="1"/>
      <c r="F16" s="1"/>
      <c r="G16" s="1"/>
      <c r="H16" s="1"/>
      <c r="I16" s="1"/>
      <c r="J16" s="1"/>
      <c r="K16" s="1"/>
      <c r="N16" s="3"/>
    </row>
    <row r="17" spans="1:18" ht="23.25" x14ac:dyDescent="0.25">
      <c r="A17" s="31">
        <v>8</v>
      </c>
      <c r="B17" s="19" t="s">
        <v>33</v>
      </c>
      <c r="C17" s="1" t="s">
        <v>60</v>
      </c>
      <c r="D17" s="1"/>
      <c r="E17" s="1"/>
      <c r="F17" s="1"/>
      <c r="G17" s="1"/>
      <c r="H17" s="1"/>
      <c r="I17" s="1"/>
      <c r="J17" s="1"/>
      <c r="K17" s="1"/>
      <c r="N17" s="3"/>
    </row>
    <row r="18" spans="1:18" ht="23.25" x14ac:dyDescent="0.25">
      <c r="A18" s="31">
        <v>9</v>
      </c>
      <c r="B18" s="19" t="s">
        <v>24</v>
      </c>
      <c r="C18" s="1" t="s">
        <v>60</v>
      </c>
      <c r="D18" s="1"/>
      <c r="E18" s="1"/>
      <c r="F18" s="1"/>
      <c r="G18" s="1"/>
      <c r="H18" s="1"/>
      <c r="I18" s="1"/>
      <c r="J18" s="1"/>
      <c r="K18" s="1"/>
      <c r="N18" s="3"/>
    </row>
    <row r="19" spans="1:18" ht="23.25" x14ac:dyDescent="0.25">
      <c r="A19" s="31">
        <v>10</v>
      </c>
      <c r="B19" s="19" t="s">
        <v>41</v>
      </c>
      <c r="C19" s="1" t="s">
        <v>60</v>
      </c>
      <c r="D19" s="1"/>
      <c r="E19" s="1"/>
      <c r="F19" s="1"/>
      <c r="G19" s="1"/>
      <c r="H19" s="1"/>
      <c r="I19" s="1"/>
      <c r="J19" s="1"/>
      <c r="K19" s="1"/>
      <c r="N19" s="3"/>
    </row>
    <row r="20" spans="1:18" x14ac:dyDescent="0.25">
      <c r="A20" s="30" t="s">
        <v>35</v>
      </c>
      <c r="B20" s="27" t="s">
        <v>36</v>
      </c>
      <c r="C20" s="28" t="s">
        <v>63</v>
      </c>
      <c r="D20" s="1"/>
      <c r="E20" s="1"/>
      <c r="F20" s="1"/>
      <c r="G20" s="1"/>
      <c r="H20" s="1"/>
      <c r="I20" s="1"/>
      <c r="J20" s="1"/>
      <c r="K20" s="1"/>
      <c r="N20" s="3"/>
    </row>
    <row r="21" spans="1:18" ht="23.25" x14ac:dyDescent="0.25">
      <c r="A21" s="30" t="s">
        <v>37</v>
      </c>
      <c r="B21" s="27" t="s">
        <v>38</v>
      </c>
      <c r="C21" s="28" t="s">
        <v>63</v>
      </c>
      <c r="D21" s="1"/>
      <c r="E21" s="1"/>
      <c r="F21" s="1"/>
      <c r="G21" s="1"/>
      <c r="H21" s="1"/>
      <c r="I21" s="1"/>
      <c r="J21" s="1"/>
      <c r="K21" s="1"/>
      <c r="N21" s="3"/>
    </row>
    <row r="22" spans="1:18" ht="23.25" x14ac:dyDescent="0.25">
      <c r="A22" s="30">
        <v>11</v>
      </c>
      <c r="B22" s="20" t="s">
        <v>56</v>
      </c>
      <c r="C22" s="6" t="s">
        <v>64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7"/>
      <c r="B23" s="2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6"/>
      <c r="B24" s="22" t="s">
        <v>6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7" t="s">
        <v>3</v>
      </c>
      <c r="B25" s="22" t="s">
        <v>0</v>
      </c>
      <c r="C25" s="3" t="s">
        <v>1</v>
      </c>
      <c r="D25" s="3" t="s">
        <v>2</v>
      </c>
      <c r="E25" s="3" t="s">
        <v>4</v>
      </c>
      <c r="F25" s="3" t="s">
        <v>5</v>
      </c>
      <c r="G25" s="3" t="s">
        <v>13</v>
      </c>
      <c r="H25" s="3" t="s">
        <v>14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7" t="s">
        <v>7</v>
      </c>
      <c r="B26" s="23">
        <v>0.43859999999999999</v>
      </c>
      <c r="C26" s="4">
        <v>0.43080000000000002</v>
      </c>
      <c r="D26" s="4">
        <v>0.42299999999999999</v>
      </c>
      <c r="E26" s="4">
        <v>0.4153</v>
      </c>
      <c r="F26" s="4">
        <v>0.40749999999999997</v>
      </c>
      <c r="G26" s="4">
        <v>0.40749999999999997</v>
      </c>
      <c r="H26" s="5" t="s">
        <v>15</v>
      </c>
      <c r="I26" s="11" t="s">
        <v>12</v>
      </c>
      <c r="J26" s="6" t="s">
        <v>16</v>
      </c>
      <c r="L26" s="2"/>
      <c r="M26" s="2"/>
      <c r="N26" s="2"/>
      <c r="O26" s="2"/>
      <c r="P26" s="2"/>
      <c r="Q26" s="2"/>
      <c r="R26" s="2"/>
    </row>
    <row r="27" spans="1:18" x14ac:dyDescent="0.25">
      <c r="A27" s="7" t="s">
        <v>8</v>
      </c>
      <c r="B27" s="24">
        <v>0.74560000000000004</v>
      </c>
      <c r="C27" s="4">
        <v>0.73240000000000005</v>
      </c>
      <c r="D27" s="4">
        <v>0.71919999999999995</v>
      </c>
      <c r="E27" s="4">
        <v>0.70599999999999996</v>
      </c>
      <c r="F27" s="4">
        <v>0.69279999999999997</v>
      </c>
      <c r="G27" s="4">
        <v>0.69279999999999997</v>
      </c>
      <c r="H27" s="5" t="s">
        <v>15</v>
      </c>
      <c r="I27" s="11" t="s">
        <v>12</v>
      </c>
      <c r="J27" s="2" t="s">
        <v>16</v>
      </c>
      <c r="L27" s="2"/>
      <c r="M27" s="2"/>
      <c r="N27" s="2"/>
      <c r="O27" s="2"/>
      <c r="P27" s="2"/>
      <c r="Q27" s="2"/>
      <c r="R27" s="2"/>
    </row>
    <row r="28" spans="1:18" x14ac:dyDescent="0.25">
      <c r="A28" s="7" t="s">
        <v>65</v>
      </c>
      <c r="B28" s="23">
        <v>0.28270000000000001</v>
      </c>
      <c r="C28" s="4">
        <v>0.23250000000000001</v>
      </c>
      <c r="D28" s="4">
        <v>0.17480000000000001</v>
      </c>
      <c r="E28" s="9">
        <v>0.13880000000000001</v>
      </c>
      <c r="F28" s="4">
        <v>0.13880000000000001</v>
      </c>
      <c r="G28" s="4">
        <v>9.8500000000000004E-2</v>
      </c>
      <c r="H28" s="4">
        <v>7.17E-2</v>
      </c>
      <c r="I28" s="11" t="s">
        <v>12</v>
      </c>
      <c r="J28" s="2" t="s">
        <v>16</v>
      </c>
      <c r="L28" s="2"/>
      <c r="M28" s="2"/>
      <c r="N28" s="2"/>
      <c r="O28" s="2"/>
      <c r="P28" s="2"/>
      <c r="Q28" s="2"/>
      <c r="R28" s="2"/>
    </row>
    <row r="29" spans="1:18" x14ac:dyDescent="0.25">
      <c r="A29" s="7" t="s">
        <v>66</v>
      </c>
      <c r="B29" s="23">
        <v>0.28270000000000001</v>
      </c>
      <c r="C29" s="4">
        <v>0.23250000000000001</v>
      </c>
      <c r="D29" s="4">
        <v>0.17480000000000001</v>
      </c>
      <c r="E29" s="4">
        <v>0.13880000000000001</v>
      </c>
      <c r="F29" s="4">
        <v>0.13880000000000001</v>
      </c>
      <c r="G29" s="4">
        <v>9.8500000000000004E-2</v>
      </c>
      <c r="H29" s="4">
        <v>7.17E-2</v>
      </c>
      <c r="I29" s="11" t="s">
        <v>12</v>
      </c>
      <c r="J29" s="2" t="s">
        <v>16</v>
      </c>
      <c r="L29" s="2"/>
      <c r="M29" s="2"/>
      <c r="N29" s="2"/>
      <c r="O29" s="2"/>
      <c r="P29" s="2"/>
      <c r="Q29" s="2"/>
      <c r="R29" s="2"/>
    </row>
    <row r="30" spans="1:18" x14ac:dyDescent="0.25">
      <c r="A30" s="7" t="s">
        <v>67</v>
      </c>
      <c r="B30" s="23">
        <v>0.28270000000000001</v>
      </c>
      <c r="C30" s="4">
        <v>0.23250000000000001</v>
      </c>
      <c r="D30" s="4">
        <v>0.17480000000000001</v>
      </c>
      <c r="E30" s="4">
        <v>0.13880000000000001</v>
      </c>
      <c r="F30" s="4">
        <v>0.13880000000000001</v>
      </c>
      <c r="G30" s="4">
        <v>9.8500000000000004E-2</v>
      </c>
      <c r="H30" s="4">
        <v>7.17E-2</v>
      </c>
      <c r="I30" s="11" t="s">
        <v>12</v>
      </c>
      <c r="J30" s="6" t="s">
        <v>16</v>
      </c>
      <c r="K30" s="6" t="s">
        <v>23</v>
      </c>
      <c r="L30" s="2"/>
      <c r="M30" s="2"/>
      <c r="N30" s="2"/>
      <c r="O30" s="2"/>
      <c r="P30" s="2"/>
      <c r="Q30" s="2"/>
      <c r="R30" s="2"/>
    </row>
    <row r="31" spans="1:18" x14ac:dyDescent="0.25">
      <c r="A31" s="6"/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6"/>
      <c r="B32" s="25" t="s">
        <v>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3.25" x14ac:dyDescent="0.25">
      <c r="A33" s="6"/>
      <c r="B33" s="19" t="s">
        <v>43</v>
      </c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23.25" x14ac:dyDescent="0.25">
      <c r="A34" s="6"/>
      <c r="B34" s="19" t="s">
        <v>44</v>
      </c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6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6"/>
      <c r="B36" s="2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6"/>
      <c r="B37" s="2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6"/>
      <c r="B38" s="2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6"/>
      <c r="B39" s="2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6"/>
      <c r="B40" s="2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6"/>
      <c r="B41" s="2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6"/>
      <c r="B42" s="2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6"/>
      <c r="B43" s="2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6"/>
      <c r="B44" s="2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6"/>
      <c r="B45" s="2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6"/>
      <c r="B46" s="2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6"/>
      <c r="B47" s="2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68" spans="2:11" x14ac:dyDescent="0.25">
      <c r="B68" s="18" t="s">
        <v>45</v>
      </c>
    </row>
    <row r="69" spans="2:11" hidden="1" x14ac:dyDescent="0.25">
      <c r="B69" s="21"/>
      <c r="C69" s="3" t="s">
        <v>6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</row>
    <row r="70" spans="2:11" hidden="1" x14ac:dyDescent="0.25">
      <c r="B70" s="22" t="s">
        <v>3</v>
      </c>
      <c r="C70" s="3" t="s">
        <v>0</v>
      </c>
      <c r="D70" s="3" t="s">
        <v>1</v>
      </c>
      <c r="E70" s="3" t="s">
        <v>2</v>
      </c>
      <c r="F70" s="3" t="s">
        <v>4</v>
      </c>
      <c r="G70" s="3" t="s">
        <v>5</v>
      </c>
      <c r="H70" s="3" t="s">
        <v>13</v>
      </c>
      <c r="I70" s="3" t="s">
        <v>14</v>
      </c>
    </row>
    <row r="71" spans="2:11" hidden="1" x14ac:dyDescent="0.25">
      <c r="B71" s="22" t="s">
        <v>7</v>
      </c>
      <c r="C71" s="4">
        <v>0.43859999999999999</v>
      </c>
      <c r="D71" s="4">
        <v>0.43080000000000002</v>
      </c>
      <c r="E71" s="4">
        <v>0.42299999999999999</v>
      </c>
      <c r="F71" s="4">
        <v>0.4153</v>
      </c>
      <c r="G71" s="4">
        <v>0.40749999999999997</v>
      </c>
      <c r="H71" s="4">
        <v>0.40749999999999997</v>
      </c>
      <c r="I71" s="5" t="s">
        <v>15</v>
      </c>
    </row>
    <row r="72" spans="2:11" hidden="1" x14ac:dyDescent="0.25">
      <c r="B72" s="22" t="s">
        <v>8</v>
      </c>
      <c r="C72" s="10">
        <v>0.74560000000000004</v>
      </c>
      <c r="D72" s="4">
        <v>0.73240000000000005</v>
      </c>
      <c r="E72" s="4">
        <v>0.71919999999999995</v>
      </c>
      <c r="F72" s="4">
        <v>0.70599999999999996</v>
      </c>
      <c r="G72" s="4">
        <v>0.69279999999999997</v>
      </c>
      <c r="H72" s="4">
        <v>0.69279999999999997</v>
      </c>
      <c r="I72" s="5" t="s">
        <v>15</v>
      </c>
    </row>
    <row r="73" spans="2:11" hidden="1" x14ac:dyDescent="0.25">
      <c r="B73" s="22" t="s">
        <v>9</v>
      </c>
      <c r="C73" s="4">
        <v>0.28270000000000001</v>
      </c>
      <c r="D73" s="4">
        <v>0.23250000000000001</v>
      </c>
      <c r="E73" s="4">
        <v>0.17480000000000001</v>
      </c>
      <c r="F73" s="9">
        <v>0.13880000000000001</v>
      </c>
      <c r="G73" s="4">
        <v>0.13880000000000001</v>
      </c>
      <c r="H73" s="4">
        <v>9.8500000000000004E-2</v>
      </c>
      <c r="I73" s="4">
        <v>7.17E-2</v>
      </c>
    </row>
    <row r="74" spans="2:11" hidden="1" x14ac:dyDescent="0.25">
      <c r="B74" s="22" t="s">
        <v>10</v>
      </c>
      <c r="C74" s="4">
        <v>0.28270000000000001</v>
      </c>
      <c r="D74" s="4">
        <v>0.23250000000000001</v>
      </c>
      <c r="E74" s="4">
        <v>0.17480000000000001</v>
      </c>
      <c r="F74" s="4">
        <v>0.13880000000000001</v>
      </c>
      <c r="G74" s="4">
        <v>0.13880000000000001</v>
      </c>
      <c r="H74" s="4">
        <v>9.8500000000000004E-2</v>
      </c>
      <c r="I74" s="4">
        <v>7.17E-2</v>
      </c>
    </row>
    <row r="75" spans="2:11" hidden="1" x14ac:dyDescent="0.25">
      <c r="B75" s="22" t="s">
        <v>11</v>
      </c>
      <c r="C75" s="4">
        <v>0.28270000000000001</v>
      </c>
      <c r="D75" s="4">
        <v>0.23250000000000001</v>
      </c>
      <c r="E75" s="4">
        <v>0.17480000000000001</v>
      </c>
      <c r="F75" s="4">
        <v>0.13880000000000001</v>
      </c>
      <c r="G75" s="4">
        <v>0.13880000000000001</v>
      </c>
      <c r="H75" s="4">
        <v>9.8500000000000004E-2</v>
      </c>
      <c r="I75" s="4">
        <v>7.17E-2</v>
      </c>
    </row>
    <row r="77" spans="2:11" x14ac:dyDescent="0.25">
      <c r="C77" s="3" t="s">
        <v>6</v>
      </c>
      <c r="D77" s="3" t="s">
        <v>6</v>
      </c>
      <c r="E77" s="3" t="s">
        <v>6</v>
      </c>
      <c r="F77" s="3" t="s">
        <v>6</v>
      </c>
      <c r="G77" s="3" t="s">
        <v>6</v>
      </c>
      <c r="H77" s="3" t="s">
        <v>6</v>
      </c>
      <c r="I77" s="3" t="s">
        <v>6</v>
      </c>
      <c r="K77" s="3" t="s">
        <v>52</v>
      </c>
    </row>
    <row r="78" spans="2:11" x14ac:dyDescent="0.25">
      <c r="B78" s="22" t="s">
        <v>3</v>
      </c>
      <c r="C78" s="3" t="s">
        <v>0</v>
      </c>
      <c r="D78" s="3" t="s">
        <v>1</v>
      </c>
      <c r="E78" s="3" t="s">
        <v>2</v>
      </c>
      <c r="F78" s="3" t="s">
        <v>4</v>
      </c>
      <c r="G78" s="3" t="s">
        <v>5</v>
      </c>
      <c r="H78" s="3" t="s">
        <v>13</v>
      </c>
      <c r="I78" s="3" t="s">
        <v>14</v>
      </c>
      <c r="K78" s="3" t="s">
        <v>53</v>
      </c>
    </row>
    <row r="79" spans="2:11" x14ac:dyDescent="0.25">
      <c r="B79" s="22" t="s">
        <v>7</v>
      </c>
      <c r="C79" s="12">
        <v>0.5482499999999999</v>
      </c>
      <c r="D79" s="4">
        <v>0.53849999999999998</v>
      </c>
      <c r="E79" s="4">
        <v>0.52874999999999994</v>
      </c>
      <c r="F79" s="4">
        <f t="shared" ref="F79:H83" si="0">F71/0.8</f>
        <v>0.51912499999999995</v>
      </c>
      <c r="G79" s="4">
        <f t="shared" si="0"/>
        <v>0.50937499999999991</v>
      </c>
      <c r="H79" s="4">
        <f t="shared" si="0"/>
        <v>0.50937499999999991</v>
      </c>
      <c r="I79" s="4" t="s">
        <v>15</v>
      </c>
      <c r="K79" s="15">
        <v>0.45</v>
      </c>
    </row>
    <row r="80" spans="2:11" x14ac:dyDescent="0.25">
      <c r="B80" s="22" t="s">
        <v>8</v>
      </c>
      <c r="C80" s="12">
        <v>0.93200000000000005</v>
      </c>
      <c r="D80" s="4">
        <v>0.91549999999999998</v>
      </c>
      <c r="E80" s="4">
        <v>0.89899999999999991</v>
      </c>
      <c r="F80" s="4">
        <f t="shared" si="0"/>
        <v>0.88249999999999995</v>
      </c>
      <c r="G80" s="4">
        <f t="shared" si="0"/>
        <v>0.86599999999999988</v>
      </c>
      <c r="H80" s="4">
        <f t="shared" si="0"/>
        <v>0.86599999999999988</v>
      </c>
      <c r="I80" s="4" t="s">
        <v>15</v>
      </c>
      <c r="K80" s="16">
        <v>0.45</v>
      </c>
    </row>
    <row r="81" spans="2:12" x14ac:dyDescent="0.25">
      <c r="B81" s="22" t="s">
        <v>9</v>
      </c>
      <c r="C81" s="12">
        <v>0.35337499999999999</v>
      </c>
      <c r="D81" s="4">
        <v>0.29062500000000002</v>
      </c>
      <c r="E81" s="4">
        <v>0.19422222222222224</v>
      </c>
      <c r="F81" s="4">
        <f t="shared" si="0"/>
        <v>0.17349999999999999</v>
      </c>
      <c r="G81" s="4">
        <f t="shared" si="0"/>
        <v>0.17349999999999999</v>
      </c>
      <c r="H81" s="4">
        <f t="shared" si="0"/>
        <v>0.123125</v>
      </c>
      <c r="I81" s="4">
        <f>I73/0.8</f>
        <v>8.9624999999999996E-2</v>
      </c>
      <c r="K81" s="16">
        <v>0.12</v>
      </c>
    </row>
    <row r="82" spans="2:12" x14ac:dyDescent="0.25">
      <c r="B82" s="22" t="s">
        <v>10</v>
      </c>
      <c r="C82" s="12">
        <v>0.35337499999999999</v>
      </c>
      <c r="D82" s="4">
        <v>0.29062500000000002</v>
      </c>
      <c r="E82" s="4">
        <v>0.19422222222222224</v>
      </c>
      <c r="F82" s="4">
        <f t="shared" si="0"/>
        <v>0.17349999999999999</v>
      </c>
      <c r="G82" s="4">
        <f t="shared" si="0"/>
        <v>0.17349999999999999</v>
      </c>
      <c r="H82" s="4">
        <f t="shared" si="0"/>
        <v>0.123125</v>
      </c>
      <c r="I82" s="4">
        <f>I74/0.8</f>
        <v>8.9624999999999996E-2</v>
      </c>
      <c r="K82" s="16">
        <v>0.12</v>
      </c>
    </row>
    <row r="83" spans="2:12" x14ac:dyDescent="0.25">
      <c r="B83" s="22" t="s">
        <v>11</v>
      </c>
      <c r="C83" s="12">
        <v>0.35337499999999999</v>
      </c>
      <c r="D83" s="4">
        <v>0.29062500000000002</v>
      </c>
      <c r="E83" s="4">
        <v>0.19422222222222224</v>
      </c>
      <c r="F83" s="4">
        <f t="shared" si="0"/>
        <v>0.17349999999999999</v>
      </c>
      <c r="G83" s="4">
        <f t="shared" si="0"/>
        <v>0.17349999999999999</v>
      </c>
      <c r="H83" s="4">
        <f t="shared" si="0"/>
        <v>0.123125</v>
      </c>
      <c r="I83" s="4">
        <f>I75/0.8</f>
        <v>8.9624999999999996E-2</v>
      </c>
      <c r="K83" s="15" t="s">
        <v>55</v>
      </c>
      <c r="L83" s="1" t="s">
        <v>54</v>
      </c>
    </row>
    <row r="85" spans="2:12" x14ac:dyDescent="0.25">
      <c r="B85" s="22" t="s">
        <v>39</v>
      </c>
      <c r="C85" s="3" t="s">
        <v>6</v>
      </c>
      <c r="D85" s="3" t="s">
        <v>6</v>
      </c>
      <c r="E85" s="3" t="s">
        <v>6</v>
      </c>
      <c r="G85" s="3"/>
      <c r="H85" s="3"/>
      <c r="I85" s="3"/>
      <c r="J85" s="3"/>
    </row>
    <row r="86" spans="2:12" x14ac:dyDescent="0.25">
      <c r="B86" s="22" t="s">
        <v>3</v>
      </c>
      <c r="C86" s="3" t="s">
        <v>0</v>
      </c>
      <c r="D86" s="3" t="s">
        <v>1</v>
      </c>
      <c r="E86" s="3" t="s">
        <v>40</v>
      </c>
      <c r="G86" s="3"/>
      <c r="H86" s="3"/>
      <c r="I86" s="3"/>
      <c r="J86" s="3"/>
    </row>
    <row r="87" spans="2:12" x14ac:dyDescent="0.25">
      <c r="B87" s="22" t="s">
        <v>7</v>
      </c>
      <c r="C87" s="14">
        <v>0.5482499999999999</v>
      </c>
      <c r="D87" s="4">
        <v>0.53849999999999998</v>
      </c>
      <c r="E87" s="4">
        <v>0.52874999999999994</v>
      </c>
      <c r="G87" s="3"/>
      <c r="H87" s="13"/>
      <c r="I87" s="13"/>
      <c r="J87" s="13"/>
    </row>
    <row r="88" spans="2:12" x14ac:dyDescent="0.25">
      <c r="B88" s="22" t="s">
        <v>8</v>
      </c>
      <c r="C88" s="14">
        <v>0.93200000000000005</v>
      </c>
      <c r="D88" s="4">
        <v>0.91549999999999998</v>
      </c>
      <c r="E88" s="4">
        <v>0.89899999999999991</v>
      </c>
      <c r="G88" s="3"/>
      <c r="H88" s="13"/>
      <c r="I88" s="13"/>
      <c r="J88" s="13"/>
    </row>
    <row r="89" spans="2:12" x14ac:dyDescent="0.25">
      <c r="B89" s="22" t="s">
        <v>9</v>
      </c>
      <c r="C89" s="14">
        <v>0.35337499999999999</v>
      </c>
      <c r="D89" s="4">
        <v>0.29062500000000002</v>
      </c>
      <c r="E89" s="4">
        <v>0.19422222222222224</v>
      </c>
      <c r="G89" s="3"/>
      <c r="H89" s="13"/>
      <c r="I89" s="13"/>
      <c r="J89" s="13"/>
    </row>
    <row r="90" spans="2:12" x14ac:dyDescent="0.25">
      <c r="B90" s="22" t="s">
        <v>10</v>
      </c>
      <c r="C90" s="14">
        <v>0.35337499999999999</v>
      </c>
      <c r="D90" s="4">
        <v>0.29062500000000002</v>
      </c>
      <c r="E90" s="4">
        <v>0.19422222222222224</v>
      </c>
      <c r="G90" s="3"/>
      <c r="H90" s="13"/>
      <c r="I90" s="13"/>
      <c r="J90" s="13"/>
    </row>
    <row r="91" spans="2:12" x14ac:dyDescent="0.25">
      <c r="B91" s="22" t="s">
        <v>11</v>
      </c>
      <c r="C91" s="14">
        <v>0.35337499999999999</v>
      </c>
      <c r="D91" s="4">
        <v>0.29062500000000002</v>
      </c>
      <c r="E91" s="4">
        <v>0.19422222222222224</v>
      </c>
      <c r="G91" s="3"/>
      <c r="H91" s="13"/>
      <c r="I91" s="13"/>
      <c r="J91" s="13"/>
    </row>
    <row r="93" spans="2:12" hidden="1" x14ac:dyDescent="0.25">
      <c r="B93" s="26" t="s">
        <v>42</v>
      </c>
      <c r="C93" s="3" t="s">
        <v>6</v>
      </c>
      <c r="D93" s="3" t="s">
        <v>6</v>
      </c>
      <c r="E93" s="3" t="s">
        <v>6</v>
      </c>
    </row>
    <row r="94" spans="2:12" hidden="1" x14ac:dyDescent="0.25">
      <c r="B94" s="22" t="s">
        <v>3</v>
      </c>
      <c r="C94" s="3" t="s">
        <v>0</v>
      </c>
      <c r="D94" s="3" t="s">
        <v>1</v>
      </c>
      <c r="E94" s="3" t="s">
        <v>40</v>
      </c>
    </row>
    <row r="95" spans="2:12" hidden="1" x14ac:dyDescent="0.25">
      <c r="B95" s="22" t="s">
        <v>7</v>
      </c>
      <c r="C95" s="12">
        <f t="shared" ref="C95:E99" si="1">C87-C104</f>
        <v>0.10964999999999991</v>
      </c>
      <c r="D95" s="4">
        <f t="shared" si="1"/>
        <v>0.10769999999999996</v>
      </c>
      <c r="E95" s="4">
        <f t="shared" si="1"/>
        <v>0.10574999999999996</v>
      </c>
    </row>
    <row r="96" spans="2:12" hidden="1" x14ac:dyDescent="0.25">
      <c r="B96" s="22" t="s">
        <v>8</v>
      </c>
      <c r="C96" s="12">
        <f t="shared" si="1"/>
        <v>0.18640000000000001</v>
      </c>
      <c r="D96" s="4">
        <f t="shared" si="1"/>
        <v>0.18309999999999993</v>
      </c>
      <c r="E96" s="4">
        <f t="shared" si="1"/>
        <v>0.17979999999999996</v>
      </c>
    </row>
    <row r="97" spans="2:5" hidden="1" x14ac:dyDescent="0.25">
      <c r="B97" s="22" t="s">
        <v>9</v>
      </c>
      <c r="C97" s="12">
        <f t="shared" si="1"/>
        <v>7.0674999999999988E-2</v>
      </c>
      <c r="D97" s="4">
        <f t="shared" si="1"/>
        <v>5.812500000000001E-2</v>
      </c>
      <c r="E97" s="4">
        <f t="shared" si="1"/>
        <v>1.942222222222223E-2</v>
      </c>
    </row>
    <row r="98" spans="2:5" hidden="1" x14ac:dyDescent="0.25">
      <c r="B98" s="22" t="s">
        <v>10</v>
      </c>
      <c r="C98" s="12">
        <f t="shared" si="1"/>
        <v>7.0674999999999988E-2</v>
      </c>
      <c r="D98" s="4">
        <f t="shared" si="1"/>
        <v>5.812500000000001E-2</v>
      </c>
      <c r="E98" s="4">
        <f t="shared" si="1"/>
        <v>1.942222222222223E-2</v>
      </c>
    </row>
    <row r="99" spans="2:5" hidden="1" x14ac:dyDescent="0.25">
      <c r="B99" s="22" t="s">
        <v>11</v>
      </c>
      <c r="C99" s="12">
        <f t="shared" si="1"/>
        <v>7.0674999999999988E-2</v>
      </c>
      <c r="D99" s="4">
        <f t="shared" si="1"/>
        <v>5.812500000000001E-2</v>
      </c>
      <c r="E99" s="4">
        <f t="shared" si="1"/>
        <v>1.942222222222223E-2</v>
      </c>
    </row>
    <row r="102" spans="2:5" hidden="1" x14ac:dyDescent="0.25">
      <c r="B102" s="21"/>
      <c r="C102" s="3" t="s">
        <v>6</v>
      </c>
      <c r="D102" s="3" t="s">
        <v>6</v>
      </c>
      <c r="E102" s="3" t="s">
        <v>6</v>
      </c>
    </row>
    <row r="103" spans="2:5" hidden="1" x14ac:dyDescent="0.25">
      <c r="B103" s="22" t="s">
        <v>3</v>
      </c>
      <c r="C103" s="3" t="s">
        <v>0</v>
      </c>
      <c r="D103" s="3" t="s">
        <v>1</v>
      </c>
      <c r="E103" s="3" t="s">
        <v>2</v>
      </c>
    </row>
    <row r="104" spans="2:5" hidden="1" x14ac:dyDescent="0.25">
      <c r="B104" s="22" t="s">
        <v>7</v>
      </c>
      <c r="C104" s="4">
        <v>0.43859999999999999</v>
      </c>
      <c r="D104" s="4">
        <v>0.43080000000000002</v>
      </c>
      <c r="E104" s="4">
        <v>0.42299999999999999</v>
      </c>
    </row>
    <row r="105" spans="2:5" hidden="1" x14ac:dyDescent="0.25">
      <c r="B105" s="22" t="s">
        <v>8</v>
      </c>
      <c r="C105" s="10">
        <v>0.74560000000000004</v>
      </c>
      <c r="D105" s="4">
        <v>0.73240000000000005</v>
      </c>
      <c r="E105" s="4">
        <v>0.71919999999999995</v>
      </c>
    </row>
    <row r="106" spans="2:5" hidden="1" x14ac:dyDescent="0.25">
      <c r="B106" s="22" t="s">
        <v>9</v>
      </c>
      <c r="C106" s="4">
        <v>0.28270000000000001</v>
      </c>
      <c r="D106" s="4">
        <v>0.23250000000000001</v>
      </c>
      <c r="E106" s="4">
        <v>0.17480000000000001</v>
      </c>
    </row>
    <row r="107" spans="2:5" hidden="1" x14ac:dyDescent="0.25">
      <c r="B107" s="22" t="s">
        <v>10</v>
      </c>
      <c r="C107" s="4">
        <v>0.28270000000000001</v>
      </c>
      <c r="D107" s="4">
        <v>0.23250000000000001</v>
      </c>
      <c r="E107" s="4">
        <v>0.17480000000000001</v>
      </c>
    </row>
    <row r="108" spans="2:5" hidden="1" x14ac:dyDescent="0.25">
      <c r="B108" s="22" t="s">
        <v>11</v>
      </c>
      <c r="C108" s="4">
        <v>0.28270000000000001</v>
      </c>
      <c r="D108" s="4">
        <v>0.23250000000000001</v>
      </c>
      <c r="E108" s="4">
        <v>0.17480000000000001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20C8-08EA-4DA7-8EA6-524D1BEEC24C}">
  <dimension ref="B1:B2"/>
  <sheetViews>
    <sheetView workbookViewId="0">
      <selection activeCell="G2" sqref="G2"/>
    </sheetView>
  </sheetViews>
  <sheetFormatPr defaultRowHeight="15" x14ac:dyDescent="0.25"/>
  <sheetData>
    <row r="1" spans="2:2" x14ac:dyDescent="0.25">
      <c r="B1" s="8" t="s">
        <v>50</v>
      </c>
    </row>
    <row r="2" spans="2:2" x14ac:dyDescent="0.25">
      <c r="B2" s="8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Karabo Mishabane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Mcwhorter</dc:creator>
  <cp:lastModifiedBy>Nigel Zhuwaki</cp:lastModifiedBy>
  <dcterms:created xsi:type="dcterms:W3CDTF">2025-06-12T16:48:27Z</dcterms:created>
  <dcterms:modified xsi:type="dcterms:W3CDTF">2025-06-19T22:15:14Z</dcterms:modified>
</cp:coreProperties>
</file>