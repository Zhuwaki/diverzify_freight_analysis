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zhuw\OneDrive\Desktop\10. Application Development\Diverzify\diverzify_freight_analysis\notebooks\nigel\bruce_tables\"/>
    </mc:Choice>
  </mc:AlternateContent>
  <xr:revisionPtr revIDLastSave="0" documentId="13_ncr:1_{8D9A3862-91EA-4936-8CF1-D49F6D913464}" xr6:coauthVersionLast="47" xr6:coauthVersionMax="47" xr10:uidLastSave="{00000000-0000-0000-0000-000000000000}"/>
  <bookViews>
    <workbookView xWindow="20370" yWindow="-120" windowWidth="29040" windowHeight="15990" xr2:uid="{00000000-000D-0000-FFFF-FFFF00000000}"/>
  </bookViews>
  <sheets>
    <sheet name="dashboard" sheetId="1" r:id="rId1"/>
    <sheet name="all_invoice_data" sheetId="2" r:id="rId2"/>
    <sheet name="rates_table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  <c r="E3" i="1" a="1"/>
  <c r="E3" i="1" s="1"/>
  <c r="D3" i="1" a="1"/>
  <c r="D3" i="1" s="1"/>
  <c r="B3" i="1" a="1"/>
  <c r="B3" i="1" s="1"/>
  <c r="C3" i="1" a="1"/>
  <c r="C3" i="1" s="1"/>
  <c r="G3" i="1" l="1"/>
  <c r="G4" i="1"/>
  <c r="D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<sst xmlns="http://schemas.openxmlformats.org/spreadsheetml/2006/main" count="184" uniqueCount="64">
  <si>
    <t>site</t>
  </si>
  <si>
    <t>measure</t>
  </si>
  <si>
    <t>Manufacturer(Priority)</t>
  </si>
  <si>
    <t>Manufacturer(NonPriority)</t>
  </si>
  <si>
    <t>Distributor</t>
  </si>
  <si>
    <t>SPJ</t>
  </si>
  <si>
    <t>SPN</t>
  </si>
  <si>
    <t>SPT</t>
  </si>
  <si>
    <t>SPW</t>
  </si>
  <si>
    <t>Select Site</t>
  </si>
  <si>
    <t>Site</t>
  </si>
  <si>
    <t>Measure</t>
  </si>
  <si>
    <t>georgia_historical_market_median</t>
  </si>
  <si>
    <t>all_states_historical_market_median</t>
  </si>
  <si>
    <t>georgia_historical_xgs_median</t>
  </si>
  <si>
    <t>recommended_median</t>
  </si>
  <si>
    <t>georgia_historical_market</t>
  </si>
  <si>
    <t>all_states_historical_market</t>
  </si>
  <si>
    <t>georgia_historical_xgs</t>
  </si>
  <si>
    <t>recommended</t>
  </si>
  <si>
    <t>L5C</t>
  </si>
  <si>
    <t>5C</t>
  </si>
  <si>
    <t>1M</t>
  </si>
  <si>
    <t>2M</t>
  </si>
  <si>
    <t>3M</t>
  </si>
  <si>
    <t>5M</t>
  </si>
  <si>
    <t>10M</t>
  </si>
  <si>
    <t>20M</t>
  </si>
  <si>
    <t>30M</t>
  </si>
  <si>
    <t>40M</t>
  </si>
  <si>
    <t>vendor</t>
  </si>
  <si>
    <t>Total</t>
  </si>
  <si>
    <t>Attribute</t>
  </si>
  <si>
    <t>site_description</t>
  </si>
  <si>
    <t>unit</t>
  </si>
  <si>
    <t>unitclass</t>
  </si>
  <si>
    <t>commodity_group</t>
  </si>
  <si>
    <t>source</t>
  </si>
  <si>
    <t>ppt_rates</t>
  </si>
  <si>
    <t>Jacksonville</t>
  </si>
  <si>
    <t>SQYD</t>
  </si>
  <si>
    <t>Area</t>
  </si>
  <si>
    <t>1CBL</t>
  </si>
  <si>
    <t>georgia_historical_market_wavg</t>
  </si>
  <si>
    <t>georgia_historical_market_q3</t>
  </si>
  <si>
    <t>all_states_historical_market_wavg</t>
  </si>
  <si>
    <t>all_states_historical_market_q3</t>
  </si>
  <si>
    <t>georgia_historical_xgs_wavg</t>
  </si>
  <si>
    <t>georgia_historical_xgs_q3</t>
  </si>
  <si>
    <t>recommended_wavg</t>
  </si>
  <si>
    <t>recommended_q3</t>
  </si>
  <si>
    <t>recommended_min</t>
  </si>
  <si>
    <t>recommended_middle</t>
  </si>
  <si>
    <t>Weighted Average</t>
  </si>
  <si>
    <t>Freight Spend (`000 USD)</t>
  </si>
  <si>
    <t>median</t>
  </si>
  <si>
    <t>w_avg</t>
  </si>
  <si>
    <t>q3</t>
  </si>
  <si>
    <t>Carpet Roll (USD/SQYD)</t>
  </si>
  <si>
    <t>Carpet Tile (USD/SQYD)</t>
  </si>
  <si>
    <t>Vinyl (USD/SQFT)</t>
  </si>
  <si>
    <t>Freight Rate Tables (USD/UoM)</t>
  </si>
  <si>
    <t>Historical</t>
  </si>
  <si>
    <t>XGS Switch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</si>
</sst>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3"/>
      <name val="Lato"/>
      <family val="2"/>
    </font>
    <font>
      <sz val="11"/>
      <color theme="1"/>
      <name val="Lato"/>
      <family val="2"/>
    </font>
    <font>
      <b/>
      <sz val="11"/>
      <color theme="1"/>
      <name val="Lato"/>
      <family val="2"/>
    </font>
    <font>
      <b/>
      <sz val="12"/>
      <color theme="1"/>
      <name val="Lato"/>
      <family val="2"/>
    </font>
    <font>
      <b/>
      <sz val="14"/>
      <color theme="1"/>
      <name val="Lato"/>
      <family val="2"/>
    </font>
    <font>
      <b/>
      <i/>
      <sz val="11"/>
      <color theme="1"/>
      <name val="Lato"/>
      <family val="2"/>
    </font>
    <font>
      <i/>
      <sz val="11"/>
      <color theme="1"/>
      <name val="Lato"/>
      <family val="2"/>
    </font>
    <font>
      <sz val="11"/>
      <color rgb="FF3F3F76"/>
      <name val="Lato"/>
      <family val="2"/>
    </font>
    <font>
      <b/>
      <i/>
      <sz val="12"/>
      <color theme="1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2" fillId="3" borderId="0" applyNumberFormat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165" fontId="0" fillId="0" borderId="0" xfId="1" applyNumberFormat="1" applyFont="1" applyBorder="1"/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6" fillId="0" borderId="0" xfId="0" applyFont="1"/>
    <xf numFmtId="0" fontId="6" fillId="0" borderId="0" xfId="0" applyFont="1" applyBorder="1"/>
    <xf numFmtId="0" fontId="6" fillId="0" borderId="4" xfId="0" applyFont="1" applyBorder="1"/>
    <xf numFmtId="9" fontId="6" fillId="3" borderId="4" xfId="4" applyNumberFormat="1" applyFont="1" applyBorder="1" applyAlignment="1">
      <alignment horizontal="left"/>
    </xf>
    <xf numFmtId="0" fontId="6" fillId="0" borderId="0" xfId="0" applyFont="1" applyAlignment="1">
      <alignment vertical="center"/>
    </xf>
    <xf numFmtId="0" fontId="7" fillId="0" borderId="0" xfId="0" applyFont="1" applyBorder="1"/>
    <xf numFmtId="0" fontId="5" fillId="0" borderId="0" xfId="2" applyFont="1" applyBorder="1"/>
    <xf numFmtId="165" fontId="6" fillId="3" borderId="5" xfId="4" applyNumberFormat="1" applyFont="1" applyBorder="1"/>
    <xf numFmtId="165" fontId="6" fillId="3" borderId="4" xfId="4" applyNumberFormat="1" applyFont="1" applyBorder="1"/>
    <xf numFmtId="165" fontId="6" fillId="3" borderId="7" xfId="4" applyNumberFormat="1" applyFont="1" applyBorder="1"/>
    <xf numFmtId="165" fontId="6" fillId="3" borderId="8" xfId="4" applyNumberFormat="1" applyFont="1" applyBorder="1"/>
    <xf numFmtId="0" fontId="6" fillId="3" borderId="4" xfId="4" applyFont="1" applyBorder="1"/>
    <xf numFmtId="0" fontId="6" fillId="3" borderId="9" xfId="4" applyFont="1" applyBorder="1"/>
    <xf numFmtId="0" fontId="6" fillId="0" borderId="10" xfId="0" applyFont="1" applyBorder="1"/>
    <xf numFmtId="0" fontId="11" fillId="0" borderId="10" xfId="0" applyFont="1" applyBorder="1"/>
    <xf numFmtId="0" fontId="6" fillId="0" borderId="6" xfId="0" applyFont="1" applyBorder="1"/>
    <xf numFmtId="0" fontId="6" fillId="0" borderId="8" xfId="0" applyFont="1" applyBorder="1"/>
    <xf numFmtId="0" fontId="10" fillId="0" borderId="10" xfId="0" applyFont="1" applyBorder="1"/>
    <xf numFmtId="0" fontId="7" fillId="0" borderId="10" xfId="0" applyFont="1" applyBorder="1"/>
    <xf numFmtId="0" fontId="10" fillId="0" borderId="6" xfId="0" applyFont="1" applyBorder="1"/>
    <xf numFmtId="0" fontId="8" fillId="0" borderId="10" xfId="0" applyFont="1" applyBorder="1"/>
    <xf numFmtId="0" fontId="9" fillId="0" borderId="10" xfId="0" applyFont="1" applyBorder="1"/>
    <xf numFmtId="0" fontId="12" fillId="2" borderId="3" xfId="3" applyFont="1"/>
    <xf numFmtId="0" fontId="6" fillId="0" borderId="6" xfId="4" applyFont="1" applyFill="1" applyBorder="1"/>
    <xf numFmtId="0" fontId="6" fillId="0" borderId="10" xfId="4" applyFont="1" applyFill="1" applyBorder="1"/>
    <xf numFmtId="165" fontId="6" fillId="0" borderId="10" xfId="4" applyNumberFormat="1" applyFont="1" applyFill="1" applyBorder="1"/>
    <xf numFmtId="165" fontId="6" fillId="0" borderId="6" xfId="4" applyNumberFormat="1" applyFont="1" applyFill="1" applyBorder="1"/>
    <xf numFmtId="0" fontId="6" fillId="0" borderId="0" xfId="0" applyFont="1" applyFill="1"/>
    <xf numFmtId="165" fontId="6" fillId="0" borderId="0" xfId="4" applyNumberFormat="1" applyFont="1" applyFill="1" applyBorder="1"/>
    <xf numFmtId="0" fontId="11" fillId="0" borderId="0" xfId="0" applyFont="1"/>
    <xf numFmtId="0" fontId="10" fillId="0" borderId="0" xfId="0" applyFont="1" applyBorder="1"/>
    <xf numFmtId="0" fontId="11" fillId="0" borderId="8" xfId="0" applyFont="1" applyBorder="1"/>
    <xf numFmtId="0" fontId="11" fillId="0" borderId="0" xfId="0" applyFont="1" applyBorder="1"/>
    <xf numFmtId="0" fontId="11" fillId="0" borderId="6" xfId="0" applyFont="1" applyBorder="1"/>
    <xf numFmtId="0" fontId="13" fillId="0" borderId="0" xfId="0" applyFont="1" applyBorder="1"/>
  </cellXfs>
  <cellStyles count="5">
    <cellStyle name="20% - Accent1" xfId="4" builtinId="30"/>
    <cellStyle name="Comma" xfId="1" builtinId="3"/>
    <cellStyle name="Heading 3" xfId="2" builtinId="18"/>
    <cellStyle name="Input" xfId="3" builtinId="20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53301991097266"/>
          <c:y val="0.26009849526410972"/>
          <c:w val="0.86960495322700049"/>
          <c:h val="0.575333403117706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dashboard!$D$2</c:f>
              <c:strCache>
                <c:ptCount val="1"/>
                <c:pt idx="0">
                  <c:v>Manufacturer(Priority)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dashboard!$B$3:$C$4</c:f>
              <c:multiLvlStrCache>
                <c:ptCount val="2"/>
                <c:lvl>
                  <c:pt idx="0">
                    <c:v>Historical</c:v>
                  </c:pt>
                  <c:pt idx="1">
                    <c:v>XGS Switch Over</c:v>
                  </c:pt>
                </c:lvl>
                <c:lvl>
                  <c:pt idx="0">
                    <c:v>SPJ</c:v>
                  </c:pt>
                  <c:pt idx="1">
                    <c:v>SPJ</c:v>
                  </c:pt>
                </c:lvl>
              </c:multiLvlStrCache>
            </c:multiLvlStrRef>
          </c:cat>
          <c:val>
            <c:numRef>
              <c:f>dashboard!$D$3:$D$4</c:f>
              <c:numCache>
                <c:formatCode>_(* #,##0_);_(* \(#,##0\);_(* "-"??_);_(@_)</c:formatCode>
                <c:ptCount val="2"/>
                <c:pt idx="0">
                  <c:v>141.51073000000002</c:v>
                </c:pt>
                <c:pt idx="1">
                  <c:v>133.02008619999998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F-4608-AFB8-A292A7E5627B}"/>
            </c:ext>
          </c:extLst>
        </c:ser>
        <c:ser>
          <c:idx val="1"/>
          <c:order val="1"/>
          <c:tx>
            <c:strRef>
              <c:f>dashboard!$E$2</c:f>
              <c:strCache>
                <c:ptCount val="1"/>
                <c:pt idx="0">
                  <c:v>Manufacturer(NonPriority)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dashboard!$B$3:$C$4</c:f>
              <c:multiLvlStrCache>
                <c:ptCount val="2"/>
                <c:lvl>
                  <c:pt idx="0">
                    <c:v>Historical</c:v>
                  </c:pt>
                  <c:pt idx="1">
                    <c:v>XGS Switch Over</c:v>
                  </c:pt>
                </c:lvl>
                <c:lvl>
                  <c:pt idx="0">
                    <c:v>SPJ</c:v>
                  </c:pt>
                  <c:pt idx="1">
                    <c:v>SPJ</c:v>
                  </c:pt>
                </c:lvl>
              </c:multiLvlStrCache>
            </c:multiLvlStrRef>
          </c:cat>
          <c:val>
            <c:numRef>
              <c:f>dashboard!$E$3:$E$4</c:f>
              <c:numCache>
                <c:formatCode>_(* #,##0_);_(* \(#,##0\);_(* "-"??_);_(@_)</c:formatCode>
                <c:ptCount val="2"/>
                <c:pt idx="0">
                  <c:v>71.144729999999996</c:v>
                </c:pt>
                <c:pt idx="1">
                  <c:v>66.87604619999999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5F-4608-AFB8-A292A7E5627B}"/>
            </c:ext>
          </c:extLst>
        </c:ser>
        <c:ser>
          <c:idx val="2"/>
          <c:order val="2"/>
          <c:tx>
            <c:strRef>
              <c:f>dashboard!$F$2</c:f>
              <c:strCache>
                <c:ptCount val="1"/>
                <c:pt idx="0">
                  <c:v>Distributor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dashboard!$B$3:$C$4</c:f>
              <c:multiLvlStrCache>
                <c:ptCount val="2"/>
                <c:lvl>
                  <c:pt idx="0">
                    <c:v>Historical</c:v>
                  </c:pt>
                  <c:pt idx="1">
                    <c:v>XGS Switch Over</c:v>
                  </c:pt>
                </c:lvl>
                <c:lvl>
                  <c:pt idx="0">
                    <c:v>SPJ</c:v>
                  </c:pt>
                  <c:pt idx="1">
                    <c:v>SPJ</c:v>
                  </c:pt>
                </c:lvl>
              </c:multiLvlStrCache>
            </c:multiLvlStrRef>
          </c:cat>
          <c:val>
            <c:numRef>
              <c:f>dashboard!$F$3:$F$4</c:f>
              <c:numCache>
                <c:formatCode>_(* #,##0_);_(* \(#,##0\);_(* "-"??_);_(@_)</c:formatCode>
                <c:ptCount val="2"/>
                <c:pt idx="0">
                  <c:v>108.23336</c:v>
                </c:pt>
                <c:pt idx="1">
                  <c:v>108.23336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5F-4608-AFB8-A292A7E5627B}"/>
            </c:ext>
          </c:extLst>
        </c:ser>
        <c:ser>
          <c:idx val="3"/>
          <c:order val="3"/>
          <c:tx>
            <c:strRef>
              <c:f>dashboard!$G$2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dashboard!$B$3:$C$4</c:f>
              <c:multiLvlStrCache>
                <c:ptCount val="2"/>
                <c:lvl>
                  <c:pt idx="0">
                    <c:v>Historical</c:v>
                  </c:pt>
                  <c:pt idx="1">
                    <c:v>XGS Switch Over</c:v>
                  </c:pt>
                </c:lvl>
                <c:lvl>
                  <c:pt idx="0">
                    <c:v>SPJ</c:v>
                  </c:pt>
                  <c:pt idx="1">
                    <c:v>SPJ</c:v>
                  </c:pt>
                </c:lvl>
              </c:multiLvlStrCache>
            </c:multiLvlStrRef>
          </c:cat>
          <c:val>
            <c:numRef>
              <c:f>dashboard!$G$3:$G$4</c:f>
              <c:numCache>
                <c:formatCode>_(* #,##0_);_(* \(#,##0\);_(* "-"??_);_(@_)</c:formatCode>
                <c:ptCount val="2"/>
                <c:pt idx="0">
                  <c:v>320.88882000000001</c:v>
                </c:pt>
                <c:pt idx="1">
                  <c:v>308.1294924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5F-4608-AFB8-A292A7E562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1444527"/>
        <c:axId val="441428687"/>
      </c:barChart>
      <c:catAx>
        <c:axId val="44144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441428687"/>
        <c:crosses val="autoZero"/>
        <c:auto val="1"/>
        <c:lblAlgn val="ctr"/>
        <c:lblOffset val="100"/>
        <c:noMultiLvlLbl val="0"/>
      </c:catAx>
      <c:valAx>
        <c:axId val="44142868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44144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Lato" panose="020F0502020204030203" pitchFamily="34" charset="0"/>
          <a:ea typeface="Lato" panose="020F0502020204030203" pitchFamily="34" charset="0"/>
          <a:cs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7</xdr:row>
      <xdr:rowOff>0</xdr:rowOff>
    </xdr:from>
    <xdr:to>
      <xdr:col>5</xdr:col>
      <xdr:colOff>592667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9A30E0-1FE3-0350-896F-7DD22D15B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685800</xdr:colOff>
      <xdr:row>9</xdr:row>
      <xdr:rowOff>95250</xdr:rowOff>
    </xdr:from>
    <xdr:to>
      <xdr:col>3</xdr:col>
      <xdr:colOff>1143000</xdr:colOff>
      <xdr:row>11</xdr:row>
      <xdr:rowOff>86784</xdr:rowOff>
    </xdr:to>
    <xdr:sp macro="" textlink="$D$1">
      <xdr:nvSpPr>
        <xdr:cNvPr id="4" name="Oval 3">
          <a:extLst>
            <a:ext uri="{FF2B5EF4-FFF2-40B4-BE49-F238E27FC236}">
              <a16:creationId xmlns:a16="http://schemas.microsoft.com/office/drawing/2014/main" id="{0E8195CE-50D0-1CED-60A0-6FA590ACFB4D}"/>
            </a:ext>
          </a:extLst>
        </xdr:cNvPr>
        <xdr:cNvSpPr/>
      </xdr:nvSpPr>
      <xdr:spPr>
        <a:xfrm>
          <a:off x="3585633" y="2465917"/>
          <a:ext cx="457200" cy="457200"/>
        </a:xfrm>
        <a:prstGeom prst="ellipse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fld id="{08677C9C-4B5D-4866-B148-A7B1B20CDB6E}" type="TxLink">
            <a:rPr lang="en-US" sz="1100" b="1" i="0" u="none" strike="noStrike">
              <a:solidFill>
                <a:sysClr val="windowText" lastClr="000000"/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rPr>
            <a:pPr algn="ctr"/>
            <a:t>-4%</a:t>
          </a:fld>
          <a:endParaRPr lang="en-GB" sz="1100" b="1">
            <a:solidFill>
              <a:sysClr val="windowText" lastClr="000000"/>
            </a:solidFill>
            <a:latin typeface="Lato" panose="020F0502020204030203" pitchFamily="34" charset="0"/>
            <a:ea typeface="Lato" panose="020F0502020204030203" pitchFamily="34" charset="0"/>
            <a:cs typeface="Lato" panose="020F0502020204030203" pitchFamily="34" charset="0"/>
          </a:endParaRPr>
        </a:p>
      </xdr:txBody>
    </xdr:sp>
    <xdr:clientData/>
  </xdr:twoCellAnchor>
  <xdr:twoCellAnchor>
    <xdr:from>
      <xdr:col>2</xdr:col>
      <xdr:colOff>411270</xdr:colOff>
      <xdr:row>10</xdr:row>
      <xdr:rowOff>120860</xdr:rowOff>
    </xdr:from>
    <xdr:to>
      <xdr:col>3</xdr:col>
      <xdr:colOff>664633</xdr:colOff>
      <xdr:row>19</xdr:row>
      <xdr:rowOff>26457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D97347B3-3D6E-B107-6B8E-5B14ED62358E}"/>
            </a:ext>
          </a:extLst>
        </xdr:cNvPr>
        <xdr:cNvCxnSpPr/>
      </xdr:nvCxnSpPr>
      <xdr:spPr>
        <a:xfrm rot="10800000" flipV="1">
          <a:off x="2538520" y="2502110"/>
          <a:ext cx="1025946" cy="2011680"/>
        </a:xfrm>
        <a:prstGeom prst="bentConnector3">
          <a:avLst>
            <a:gd name="adj1" fmla="val 99515"/>
          </a:avLst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1143000</xdr:colOff>
      <xdr:row>10</xdr:row>
      <xdr:rowOff>91017</xdr:rowOff>
    </xdr:from>
    <xdr:to>
      <xdr:col>4</xdr:col>
      <xdr:colOff>811530</xdr:colOff>
      <xdr:row>19</xdr:row>
      <xdr:rowOff>88054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AD4B4E29-248F-DE49-DD9B-EC89E1DE0711}"/>
            </a:ext>
          </a:extLst>
        </xdr:cNvPr>
        <xdr:cNvCxnSpPr>
          <a:stCxn id="4" idx="6"/>
        </xdr:cNvCxnSpPr>
      </xdr:nvCxnSpPr>
      <xdr:spPr>
        <a:xfrm>
          <a:off x="4042833" y="2472267"/>
          <a:ext cx="1097280" cy="2103120"/>
        </a:xfrm>
        <a:prstGeom prst="bentConnector3">
          <a:avLst>
            <a:gd name="adj1" fmla="val 100185"/>
          </a:avLst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2A45B-85EC-461B-97CA-A28BB481D246}" name="Table1" displayName="Table1" ref="B2:F10" totalsRowShown="0" headerRowDxfId="5" dataDxfId="4" dataCellStyle="Comma">
  <autoFilter ref="B2:F10" xr:uid="{32E2A45B-85EC-461B-97CA-A28BB481D246}"/>
  <tableColumns count="5">
    <tableColumn id="1" xr3:uid="{F37FD3A4-67B2-4B7D-BD21-E8F8BA69C8B6}" name="site" dataDxfId="3"/>
    <tableColumn id="2" xr3:uid="{0D0D5C11-07A0-4C71-ABE3-4845A3F4F1F1}" name="measure"/>
    <tableColumn id="3" xr3:uid="{E9CAB3AE-8D72-4642-9C46-02A29ECC4C4A}" name="Manufacturer(Priority)" dataDxfId="2" dataCellStyle="Comma"/>
    <tableColumn id="4" xr3:uid="{B7D5C30A-D90C-474B-9347-51BD26180926}" name="Manufacturer(NonPriority)" dataDxfId="1" dataCellStyle="Comma"/>
    <tableColumn id="5" xr3:uid="{3D1E0DCF-E07C-4DDC-B257-C643CFAE7BED}" name="Distributor" dataDxfId="0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2"/>
  <sheetViews>
    <sheetView showGridLines="0" tabSelected="1" zoomScale="90" zoomScaleNormal="90" workbookViewId="0">
      <selection activeCell="H16" sqref="H16:Q16"/>
    </sheetView>
  </sheetViews>
  <sheetFormatPr defaultRowHeight="18" x14ac:dyDescent="0.35"/>
  <cols>
    <col min="1" max="1" width="9.140625" style="8"/>
    <col min="2" max="2" width="22.7109375" style="8" bestFit="1" customWidth="1"/>
    <col min="3" max="3" width="11.5703125" style="8" bestFit="1" customWidth="1"/>
    <col min="4" max="4" width="21.42578125" style="8" bestFit="1" customWidth="1"/>
    <col min="5" max="5" width="25.140625" style="8" bestFit="1" customWidth="1"/>
    <col min="6" max="6" width="10.5703125" style="8" bestFit="1" customWidth="1"/>
    <col min="7" max="7" width="34.5703125" style="8" bestFit="1" customWidth="1"/>
    <col min="8" max="10" width="9" style="8" bestFit="1" customWidth="1"/>
    <col min="11" max="11" width="6.5703125" style="8" customWidth="1"/>
    <col min="12" max="14" width="9" style="8" bestFit="1" customWidth="1"/>
    <col min="15" max="15" width="6.85546875" style="8" customWidth="1"/>
    <col min="16" max="18" width="9" style="8" bestFit="1" customWidth="1"/>
    <col min="19" max="22" width="6.7109375" style="8" customWidth="1"/>
    <col min="23" max="23" width="6.7109375" style="8" bestFit="1" customWidth="1"/>
    <col min="24" max="16384" width="9.140625" style="8"/>
  </cols>
  <sheetData>
    <row r="1" spans="2:18" x14ac:dyDescent="0.35">
      <c r="B1" s="10" t="s">
        <v>9</v>
      </c>
      <c r="C1" s="30" t="s">
        <v>5</v>
      </c>
      <c r="D1" s="11">
        <f>(G4-G3)/G3</f>
        <v>-3.9762456043186567E-2</v>
      </c>
    </row>
    <row r="2" spans="2:18" x14ac:dyDescent="0.35">
      <c r="B2" s="14" t="s">
        <v>10</v>
      </c>
      <c r="C2" s="14" t="s">
        <v>11</v>
      </c>
      <c r="D2" s="14" t="s">
        <v>2</v>
      </c>
      <c r="E2" s="14" t="s">
        <v>3</v>
      </c>
      <c r="F2" s="14" t="s">
        <v>4</v>
      </c>
      <c r="G2" s="14" t="s">
        <v>31</v>
      </c>
    </row>
    <row r="3" spans="2:18" x14ac:dyDescent="0.35">
      <c r="B3" s="19" t="str" cm="1">
        <f t="array" ref="B3:B4">_xlfn._xlws.FILTER(all_invoice_data!B3:B10, all_invoice_data!B3:B10=dashboard!C1, "No match")</f>
        <v>SPJ</v>
      </c>
      <c r="C3" s="19" t="str" cm="1">
        <f t="array" ref="C3:C4">_xlfn._xlws.FILTER(all_invoice_data!C3:C10, all_invoice_data!B3:B10=dashboard!C1, "No match")</f>
        <v>Historical</v>
      </c>
      <c r="D3" s="18" cm="1">
        <f t="array" ref="D3:D4">_xlfn._xlws.FILTER((all_invoice_data!D3:D10)/1000, all_invoice_data!B3:B10=dashboard!C1, "No match")</f>
        <v>141.51073000000002</v>
      </c>
      <c r="E3" s="16" cm="1">
        <f t="array" ref="E3:E4">_xlfn._xlws.FILTER((all_invoice_data!E3:E10)/1000, all_invoice_data!B3:B10=dashboard!C1, "No match")</f>
        <v>71.144729999999996</v>
      </c>
      <c r="F3" s="15" cm="1">
        <f t="array" ref="F3:F4">_xlfn._xlws.FILTER((all_invoice_data!F3:F10)/1000, all_invoice_data!B3:B10=dashboard!C1, "No match")</f>
        <v>108.23336</v>
      </c>
      <c r="G3" s="16">
        <f>SUM(D3:F3)</f>
        <v>320.88882000000001</v>
      </c>
    </row>
    <row r="4" spans="2:18" x14ac:dyDescent="0.35">
      <c r="B4" s="20" t="str">
        <v>SPJ</v>
      </c>
      <c r="C4" s="19" t="str">
        <v>XGS Switch Over</v>
      </c>
      <c r="D4" s="15">
        <v>133.02008619999998</v>
      </c>
      <c r="E4" s="17">
        <v>66.87604619999999</v>
      </c>
      <c r="F4" s="16">
        <v>108.23336</v>
      </c>
      <c r="G4" s="16">
        <f>SUM(D4:F4)</f>
        <v>308.1294924</v>
      </c>
    </row>
    <row r="5" spans="2:18" s="35" customFormat="1" x14ac:dyDescent="0.35">
      <c r="B5" s="31"/>
      <c r="C5" s="32"/>
      <c r="D5" s="33"/>
      <c r="E5" s="34"/>
      <c r="F5" s="33"/>
      <c r="G5" s="36"/>
    </row>
    <row r="6" spans="2:18" ht="22.5" x14ac:dyDescent="0.45">
      <c r="B6" s="28" t="s">
        <v>54</v>
      </c>
      <c r="C6" s="29"/>
      <c r="D6" s="29"/>
      <c r="E6" s="29"/>
      <c r="F6" s="29"/>
      <c r="G6" s="28" t="s">
        <v>61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2:18" s="12" customFormat="1" x14ac:dyDescent="0.35">
      <c r="B7" s="8"/>
      <c r="C7" s="8"/>
      <c r="D7" s="8"/>
      <c r="E7" s="8"/>
      <c r="F7" s="8"/>
      <c r="G7" s="21"/>
      <c r="H7" s="22" t="s">
        <v>58</v>
      </c>
      <c r="I7" s="22"/>
      <c r="J7" s="22"/>
      <c r="K7" s="22"/>
      <c r="L7" s="22" t="s">
        <v>59</v>
      </c>
      <c r="M7" s="22"/>
      <c r="N7" s="22"/>
      <c r="O7" s="22"/>
      <c r="P7" s="22" t="s">
        <v>60</v>
      </c>
      <c r="Q7" s="22"/>
      <c r="R7" s="21"/>
    </row>
    <row r="8" spans="2:18" x14ac:dyDescent="0.35">
      <c r="F8" s="37"/>
      <c r="G8" s="38" t="s">
        <v>32</v>
      </c>
      <c r="H8" s="13" t="s">
        <v>55</v>
      </c>
      <c r="I8" s="13" t="s">
        <v>56</v>
      </c>
      <c r="J8" s="13" t="s">
        <v>57</v>
      </c>
      <c r="K8" s="13"/>
      <c r="L8" s="13" t="s">
        <v>55</v>
      </c>
      <c r="M8" s="13" t="s">
        <v>56</v>
      </c>
      <c r="N8" s="13" t="s">
        <v>57</v>
      </c>
      <c r="O8" s="13"/>
      <c r="P8" s="13" t="s">
        <v>55</v>
      </c>
      <c r="Q8" s="13" t="s">
        <v>56</v>
      </c>
      <c r="R8" s="13" t="s">
        <v>57</v>
      </c>
    </row>
    <row r="9" spans="2:18" x14ac:dyDescent="0.35">
      <c r="F9" s="37"/>
      <c r="G9" s="39" t="s">
        <v>16</v>
      </c>
      <c r="H9" s="24">
        <v>1.1105481782191451</v>
      </c>
      <c r="I9" s="24">
        <v>1.0316717791411021</v>
      </c>
      <c r="J9" s="24">
        <v>2.1424534363107219</v>
      </c>
      <c r="K9" s="24"/>
      <c r="L9" s="8">
        <v>1.36568781040341</v>
      </c>
      <c r="M9" s="8">
        <v>1.1493258781956079</v>
      </c>
      <c r="N9" s="8">
        <v>2.412391304347822</v>
      </c>
      <c r="O9" s="24"/>
      <c r="P9" s="8">
        <v>0.17337074944382161</v>
      </c>
      <c r="Q9" s="8">
        <v>0.10459912626742079</v>
      </c>
      <c r="R9" s="8">
        <v>0.35790985814329318</v>
      </c>
    </row>
    <row r="10" spans="2:18" x14ac:dyDescent="0.35">
      <c r="F10" s="37"/>
      <c r="G10" s="40" t="s">
        <v>17</v>
      </c>
      <c r="H10" s="24">
        <v>0.72375</v>
      </c>
      <c r="I10" s="24">
        <v>0.69825606401194429</v>
      </c>
      <c r="J10" s="24">
        <v>1.33638128292069</v>
      </c>
      <c r="K10" s="9"/>
      <c r="L10" s="8">
        <v>1.3705397501308449</v>
      </c>
      <c r="M10" s="8">
        <v>1.1496483105052571</v>
      </c>
      <c r="N10" s="8">
        <v>2.6805625000000002</v>
      </c>
      <c r="O10" s="9"/>
      <c r="P10" s="8">
        <v>0.18706081467177241</v>
      </c>
      <c r="Q10" s="8">
        <v>0.1172437784529641</v>
      </c>
      <c r="R10" s="8">
        <v>0.72343113050467922</v>
      </c>
    </row>
    <row r="11" spans="2:18" x14ac:dyDescent="0.35">
      <c r="F11" s="37"/>
      <c r="G11" s="40" t="s">
        <v>18</v>
      </c>
      <c r="H11" s="24">
        <v>0.7000634920634915</v>
      </c>
      <c r="I11" s="24">
        <v>0.5321344580777092</v>
      </c>
      <c r="J11" s="24">
        <v>1.2318990000746179</v>
      </c>
      <c r="K11" s="9"/>
      <c r="L11" s="8">
        <v>0.82447531454053147</v>
      </c>
      <c r="M11" s="8">
        <v>0.76265565863328977</v>
      </c>
      <c r="N11" s="8">
        <v>1.139937207357858</v>
      </c>
      <c r="O11" s="9"/>
      <c r="P11" s="8">
        <v>0.1938748099341096</v>
      </c>
      <c r="Q11" s="8">
        <v>0.1203470960067182</v>
      </c>
      <c r="R11" s="8">
        <v>0.38376656045614549</v>
      </c>
    </row>
    <row r="12" spans="2:18" x14ac:dyDescent="0.35">
      <c r="F12" s="37"/>
      <c r="G12" s="41" t="s">
        <v>19</v>
      </c>
      <c r="H12" s="24">
        <v>1.0935720858895679</v>
      </c>
      <c r="I12" s="24">
        <v>1.1771810689122939</v>
      </c>
      <c r="J12" s="24">
        <v>2.2710006424893661</v>
      </c>
      <c r="K12" s="23"/>
      <c r="L12" s="8">
        <v>1.2186272091355721</v>
      </c>
      <c r="M12" s="8">
        <v>1.452772135138696</v>
      </c>
      <c r="N12" s="8">
        <v>2.8413962499999998</v>
      </c>
      <c r="O12" s="23"/>
      <c r="P12" s="8">
        <v>0.12756792176712131</v>
      </c>
      <c r="Q12" s="8">
        <v>0.2055072985301562</v>
      </c>
      <c r="R12" s="8">
        <v>0.76683699833496</v>
      </c>
    </row>
    <row r="13" spans="2:18" x14ac:dyDescent="0.35">
      <c r="F13" s="37"/>
      <c r="G13" s="40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2:18" ht="19.5" x14ac:dyDescent="0.4">
      <c r="F14" s="37"/>
      <c r="G14" s="42" t="s">
        <v>53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2:18" x14ac:dyDescent="0.35">
      <c r="F15" s="37"/>
      <c r="G15" s="25" t="s">
        <v>58</v>
      </c>
      <c r="H15" s="26" t="s">
        <v>20</v>
      </c>
      <c r="I15" s="26" t="s">
        <v>21</v>
      </c>
      <c r="J15" s="26" t="s">
        <v>22</v>
      </c>
      <c r="K15" s="26" t="s">
        <v>23</v>
      </c>
      <c r="L15" s="26" t="s">
        <v>24</v>
      </c>
      <c r="M15" s="26" t="s">
        <v>25</v>
      </c>
      <c r="N15" s="26" t="s">
        <v>26</v>
      </c>
      <c r="O15" s="26" t="s">
        <v>27</v>
      </c>
      <c r="P15" s="26" t="s">
        <v>28</v>
      </c>
      <c r="Q15" s="26" t="s">
        <v>29</v>
      </c>
      <c r="R15" s="26"/>
    </row>
    <row r="16" spans="2:18" x14ac:dyDescent="0.35">
      <c r="F16" s="37"/>
      <c r="G16" s="37" t="s">
        <v>30</v>
      </c>
      <c r="H16" s="24">
        <v>0.48499669811320761</v>
      </c>
      <c r="I16" s="24">
        <v>0.47199976415094341</v>
      </c>
      <c r="J16" s="24">
        <v>0.46544575471698107</v>
      </c>
      <c r="K16" s="24">
        <v>0.45567028301886792</v>
      </c>
      <c r="L16" s="24">
        <v>0.43934080188679248</v>
      </c>
      <c r="M16" s="24">
        <v>0.43934080188679248</v>
      </c>
      <c r="N16" s="24">
        <v>0.43934080188679248</v>
      </c>
      <c r="O16" s="24">
        <v>0.43934080188679248</v>
      </c>
      <c r="P16" s="24">
        <v>0.43934080188679248</v>
      </c>
      <c r="Q16" s="24">
        <v>0.43934080188679248</v>
      </c>
    </row>
    <row r="17" spans="6:17" x14ac:dyDescent="0.35">
      <c r="F17" s="37"/>
      <c r="G17" s="37" t="s">
        <v>16</v>
      </c>
      <c r="H17" s="24">
        <v>1.243127641589179</v>
      </c>
      <c r="I17" s="24">
        <v>0.72375</v>
      </c>
      <c r="J17" s="24"/>
      <c r="K17" s="24">
        <v>1.0009534992954401</v>
      </c>
      <c r="L17" s="24"/>
      <c r="M17" s="24"/>
      <c r="N17" s="24"/>
      <c r="O17" s="24"/>
      <c r="P17" s="24"/>
      <c r="Q17" s="24"/>
    </row>
    <row r="18" spans="6:17" x14ac:dyDescent="0.35">
      <c r="F18" s="37"/>
      <c r="G18" s="37" t="s">
        <v>17</v>
      </c>
      <c r="H18" s="24">
        <v>0.81984328002456397</v>
      </c>
      <c r="I18" s="24">
        <v>0.57238551317783803</v>
      </c>
      <c r="J18" s="24">
        <v>0.39997226806633951</v>
      </c>
      <c r="K18" s="24">
        <v>1.0009534992954401</v>
      </c>
      <c r="L18" s="24"/>
      <c r="M18" s="24"/>
      <c r="N18" s="24"/>
      <c r="O18" s="24"/>
      <c r="P18" s="24"/>
      <c r="Q18" s="24"/>
    </row>
    <row r="19" spans="6:17" x14ac:dyDescent="0.35">
      <c r="F19" s="37"/>
      <c r="G19" s="37" t="s">
        <v>18</v>
      </c>
      <c r="H19" s="24">
        <v>0.70024513947590805</v>
      </c>
      <c r="I19" s="24">
        <v>0.47199999999999998</v>
      </c>
      <c r="J19" s="24"/>
      <c r="K19" s="24">
        <v>0.45566932832315599</v>
      </c>
      <c r="L19" s="24"/>
      <c r="M19" s="24"/>
      <c r="N19" s="24"/>
      <c r="O19" s="24"/>
      <c r="P19" s="24"/>
      <c r="Q19" s="24"/>
    </row>
    <row r="20" spans="6:17" x14ac:dyDescent="0.35">
      <c r="F20" s="37"/>
      <c r="G20" s="41" t="s">
        <v>19</v>
      </c>
      <c r="H20" s="21">
        <v>1.3177153000845301</v>
      </c>
      <c r="I20" s="21">
        <v>0.76717500000000005</v>
      </c>
      <c r="J20" s="21">
        <v>0.4239706041503199</v>
      </c>
      <c r="K20" s="21">
        <v>1.0610107092531671</v>
      </c>
      <c r="L20" s="21"/>
      <c r="M20" s="21"/>
      <c r="N20" s="21"/>
      <c r="O20" s="21"/>
      <c r="P20" s="21"/>
      <c r="Q20" s="21"/>
    </row>
    <row r="21" spans="6:17" x14ac:dyDescent="0.35">
      <c r="F21" s="37"/>
      <c r="G21" s="27" t="s">
        <v>59</v>
      </c>
    </row>
    <row r="22" spans="6:17" x14ac:dyDescent="0.35">
      <c r="F22" s="37"/>
      <c r="G22" s="37" t="s">
        <v>30</v>
      </c>
      <c r="H22" s="24">
        <v>0.82447216981132077</v>
      </c>
      <c r="I22" s="24">
        <v>0.80236627358490575</v>
      </c>
      <c r="J22" s="24">
        <v>0.79125778301886796</v>
      </c>
      <c r="K22" s="24">
        <v>0.77470613207547168</v>
      </c>
      <c r="L22" s="24">
        <v>0.74693490566037735</v>
      </c>
      <c r="M22" s="24">
        <v>0.74693490566037735</v>
      </c>
      <c r="N22" s="24">
        <v>0.74693490566037735</v>
      </c>
      <c r="O22" s="24">
        <v>0.74693490566037735</v>
      </c>
      <c r="P22" s="24">
        <v>0.74693490566037735</v>
      </c>
      <c r="Q22" s="24">
        <v>0.74693490566037735</v>
      </c>
    </row>
    <row r="23" spans="6:17" x14ac:dyDescent="0.35">
      <c r="F23" s="37"/>
      <c r="G23" s="37" t="s">
        <v>16</v>
      </c>
      <c r="H23" s="24">
        <v>2.0412570962278109</v>
      </c>
      <c r="I23" s="24">
        <v>0.94381618563530223</v>
      </c>
      <c r="J23" s="24">
        <v>1.245906517598514</v>
      </c>
      <c r="K23" s="24">
        <v>1.36572344689378</v>
      </c>
      <c r="L23" s="24">
        <v>0.24864953641875989</v>
      </c>
      <c r="M23" s="24"/>
      <c r="N23" s="24"/>
      <c r="O23" s="24"/>
      <c r="P23" s="24"/>
      <c r="Q23" s="24"/>
    </row>
    <row r="24" spans="6:17" x14ac:dyDescent="0.35">
      <c r="F24" s="37"/>
      <c r="G24" s="37" t="s">
        <v>17</v>
      </c>
      <c r="H24" s="24">
        <v>1.921284369222237</v>
      </c>
      <c r="I24" s="24">
        <v>1.0611371695610321</v>
      </c>
      <c r="J24" s="24">
        <v>1.126617677526853</v>
      </c>
      <c r="K24" s="24">
        <v>1.36572344689378</v>
      </c>
      <c r="L24" s="24">
        <v>0.24864953641875989</v>
      </c>
      <c r="M24" s="24"/>
      <c r="N24" s="24"/>
      <c r="O24" s="24"/>
      <c r="P24" s="24"/>
      <c r="Q24" s="24"/>
    </row>
    <row r="25" spans="6:17" x14ac:dyDescent="0.35">
      <c r="F25" s="37"/>
      <c r="G25" s="37" t="s">
        <v>18</v>
      </c>
      <c r="H25" s="24">
        <v>0.95048107248836744</v>
      </c>
      <c r="I25" s="24">
        <v>0.80236690663292642</v>
      </c>
      <c r="J25" s="24">
        <v>0.79125851434842442</v>
      </c>
      <c r="K25" s="24">
        <v>0.77470541082164301</v>
      </c>
      <c r="L25" s="24">
        <v>0.51024862399942572</v>
      </c>
      <c r="M25" s="24"/>
      <c r="N25" s="24"/>
      <c r="O25" s="24"/>
      <c r="P25" s="24"/>
      <c r="Q25" s="24"/>
    </row>
    <row r="26" spans="6:17" x14ac:dyDescent="0.35">
      <c r="F26" s="37"/>
      <c r="G26" s="41" t="s">
        <v>19</v>
      </c>
      <c r="H26" s="21">
        <v>2.1637325220014798</v>
      </c>
      <c r="I26" s="21">
        <v>1.1248053997346941</v>
      </c>
      <c r="J26" s="21">
        <v>1.320660908654425</v>
      </c>
      <c r="K26" s="21">
        <v>1.4476668537074071</v>
      </c>
      <c r="L26" s="21">
        <v>0.5408635414393913</v>
      </c>
      <c r="M26" s="21"/>
      <c r="N26" s="21"/>
      <c r="O26" s="21"/>
      <c r="P26" s="21"/>
      <c r="Q26" s="21"/>
    </row>
    <row r="27" spans="6:17" x14ac:dyDescent="0.35">
      <c r="F27" s="37"/>
      <c r="G27" s="27" t="s">
        <v>60</v>
      </c>
    </row>
    <row r="28" spans="6:17" x14ac:dyDescent="0.35">
      <c r="F28" s="37"/>
      <c r="G28" s="37" t="s">
        <v>30</v>
      </c>
      <c r="H28" s="24">
        <v>0.30486141509433962</v>
      </c>
      <c r="I28" s="24">
        <v>0.27793443396226419</v>
      </c>
      <c r="J28" s="24">
        <v>0.2154158490566038</v>
      </c>
      <c r="K28" s="24">
        <v>0.17329245283018871</v>
      </c>
      <c r="L28" s="24">
        <v>0.17329245283018871</v>
      </c>
      <c r="M28" s="24">
        <v>0.13583462264150939</v>
      </c>
      <c r="N28" s="24">
        <v>0.11317330188679239</v>
      </c>
      <c r="O28" s="24">
        <v>0.11317330188679239</v>
      </c>
      <c r="P28" s="24">
        <v>0.11317330188679239</v>
      </c>
      <c r="Q28" s="24">
        <v>0.11317330188679239</v>
      </c>
    </row>
    <row r="29" spans="6:17" x14ac:dyDescent="0.35">
      <c r="F29" s="37"/>
      <c r="G29" s="37" t="s">
        <v>16</v>
      </c>
      <c r="H29" s="24">
        <v>0.95269163337452789</v>
      </c>
      <c r="I29" s="24">
        <v>0.30591915336977971</v>
      </c>
      <c r="J29" s="24">
        <v>0.18338925148017141</v>
      </c>
      <c r="K29" s="24">
        <v>0.14579704681157471</v>
      </c>
      <c r="L29" s="24">
        <v>0.1322647474085662</v>
      </c>
      <c r="M29" s="24">
        <v>0.12882739088170661</v>
      </c>
      <c r="N29" s="24">
        <v>6.9203563445172048E-2</v>
      </c>
      <c r="O29" s="24">
        <v>7.5712576876667131E-2</v>
      </c>
      <c r="P29" s="24">
        <v>5.6947671287677082E-2</v>
      </c>
      <c r="Q29" s="24">
        <v>4.2509228195158913E-2</v>
      </c>
    </row>
    <row r="30" spans="6:17" x14ac:dyDescent="0.35">
      <c r="F30" s="37"/>
      <c r="G30" s="37" t="s">
        <v>17</v>
      </c>
      <c r="H30" s="24">
        <v>0.88466843103118309</v>
      </c>
      <c r="I30" s="24">
        <v>0.28491616149349941</v>
      </c>
      <c r="J30" s="24">
        <v>0.15196099031036109</v>
      </c>
      <c r="K30" s="24">
        <v>0.14448162579539711</v>
      </c>
      <c r="L30" s="24">
        <v>0.1191616605665555</v>
      </c>
      <c r="M30" s="24">
        <v>0.11948940090974471</v>
      </c>
      <c r="N30" s="24">
        <v>9.7463713981412778E-2</v>
      </c>
      <c r="O30" s="24">
        <v>9.2573247838201395E-2</v>
      </c>
      <c r="P30" s="24">
        <v>5.6947671287677082E-2</v>
      </c>
      <c r="Q30" s="24">
        <v>4.2509228195158913E-2</v>
      </c>
    </row>
    <row r="31" spans="6:17" x14ac:dyDescent="0.35">
      <c r="F31" s="37"/>
      <c r="G31" s="37" t="s">
        <v>18</v>
      </c>
      <c r="H31" s="24">
        <v>0.7954405666761587</v>
      </c>
      <c r="I31" s="24">
        <v>0.25014176841760172</v>
      </c>
      <c r="J31" s="24">
        <v>0.1938746080469686</v>
      </c>
      <c r="K31" s="24">
        <v>0.1559637427193204</v>
      </c>
      <c r="L31" s="24">
        <v>0.15596296652723471</v>
      </c>
      <c r="M31" s="24">
        <v>0.12225144924967719</v>
      </c>
      <c r="N31" s="24">
        <v>0.1018558987433677</v>
      </c>
      <c r="O31" s="24">
        <v>0.10170156557578811</v>
      </c>
      <c r="P31" s="24">
        <v>7.7045034116454719E-2</v>
      </c>
      <c r="Q31" s="24">
        <v>6.7208291156459127E-2</v>
      </c>
    </row>
    <row r="32" spans="6:17" x14ac:dyDescent="0.35">
      <c r="F32" s="37"/>
      <c r="G32" s="41" t="s">
        <v>19</v>
      </c>
      <c r="H32" s="21">
        <v>1.0098531313770001</v>
      </c>
      <c r="I32" s="21">
        <v>0.32427430257196638</v>
      </c>
      <c r="J32" s="21">
        <v>0.20550708452978669</v>
      </c>
      <c r="K32" s="21">
        <v>0.1653215672824796</v>
      </c>
      <c r="L32" s="21">
        <v>0.16532074451886869</v>
      </c>
      <c r="M32" s="21">
        <v>0.136557034334609</v>
      </c>
      <c r="N32" s="21">
        <v>0.1079672526679698</v>
      </c>
      <c r="O32" s="21">
        <v>0.1078036595103354</v>
      </c>
      <c r="P32" s="21">
        <v>8.1667736163442001E-2</v>
      </c>
      <c r="Q32" s="21">
        <v>7.1240788625846679E-2</v>
      </c>
    </row>
  </sheetData>
  <conditionalFormatting sqref="L9:N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0:N1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:N1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:N1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:J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:J1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:J1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:J1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6:Q1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:Q1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8:Q18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Q19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0:Q2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:Q2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3:Q2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4:Q2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5:Q2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:Q2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8:Q2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9:Q2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:Q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1:Q3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2:Q3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9:R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0:R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1:R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2:R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62CD-B98D-4735-831E-7FC181BDE245}">
  <dimension ref="B2:F10"/>
  <sheetViews>
    <sheetView showGridLines="0" workbookViewId="0">
      <selection activeCell="C10" sqref="C10"/>
    </sheetView>
  </sheetViews>
  <sheetFormatPr defaultRowHeight="15" x14ac:dyDescent="0.25"/>
  <cols>
    <col min="2" max="2" width="8.85546875" style="5" bestFit="1" customWidth="1"/>
    <col min="3" max="3" width="10.85546875" customWidth="1"/>
    <col min="4" max="4" width="23.28515625" customWidth="1"/>
    <col min="5" max="5" width="27" customWidth="1"/>
    <col min="6" max="6" width="12.7109375" customWidth="1"/>
  </cols>
  <sheetData>
    <row r="2" spans="2:6" x14ac:dyDescent="0.25">
      <c r="B2" s="6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25">
      <c r="B3" s="7" t="s">
        <v>5</v>
      </c>
      <c r="C3" s="3" t="s">
        <v>62</v>
      </c>
      <c r="D3" s="4">
        <v>141510.73000000001</v>
      </c>
      <c r="E3" s="4">
        <v>71144.73</v>
      </c>
      <c r="F3" s="4">
        <v>108233.36</v>
      </c>
    </row>
    <row r="4" spans="2:6" x14ac:dyDescent="0.25">
      <c r="B4" s="7" t="s">
        <v>5</v>
      </c>
      <c r="C4" s="3" t="s">
        <v>63</v>
      </c>
      <c r="D4" s="4">
        <v>133020.08619999999</v>
      </c>
      <c r="E4" s="4">
        <v>66876.046199999997</v>
      </c>
      <c r="F4" s="4">
        <v>108233.36</v>
      </c>
    </row>
    <row r="5" spans="2:6" x14ac:dyDescent="0.25">
      <c r="B5" s="7" t="s">
        <v>6</v>
      </c>
      <c r="C5" s="3" t="s">
        <v>62</v>
      </c>
      <c r="D5" s="4">
        <v>201762.12</v>
      </c>
      <c r="E5" s="4">
        <v>429740.08</v>
      </c>
      <c r="F5" s="4">
        <v>499037.87</v>
      </c>
    </row>
    <row r="6" spans="2:6" x14ac:dyDescent="0.25">
      <c r="B6" s="7" t="s">
        <v>6</v>
      </c>
      <c r="C6" s="3" t="s">
        <v>63</v>
      </c>
      <c r="D6" s="4">
        <v>199744.4988</v>
      </c>
      <c r="E6" s="4">
        <v>425442.67920000001</v>
      </c>
      <c r="F6" s="4">
        <v>499037.87</v>
      </c>
    </row>
    <row r="7" spans="2:6" x14ac:dyDescent="0.25">
      <c r="B7" s="7" t="s">
        <v>7</v>
      </c>
      <c r="C7" s="3" t="s">
        <v>62</v>
      </c>
      <c r="D7" s="4">
        <v>360791.68</v>
      </c>
      <c r="E7" s="4">
        <v>297382.28000000003</v>
      </c>
      <c r="F7" s="4">
        <v>276796.95</v>
      </c>
    </row>
    <row r="8" spans="2:6" x14ac:dyDescent="0.25">
      <c r="B8" s="7" t="s">
        <v>7</v>
      </c>
      <c r="C8" s="3" t="s">
        <v>63</v>
      </c>
      <c r="D8" s="4">
        <v>342752.09600000002</v>
      </c>
      <c r="E8" s="4">
        <v>282513.16600000003</v>
      </c>
      <c r="F8" s="4">
        <v>276796.95</v>
      </c>
    </row>
    <row r="9" spans="2:6" x14ac:dyDescent="0.25">
      <c r="B9" s="7" t="s">
        <v>8</v>
      </c>
      <c r="C9" s="3" t="s">
        <v>62</v>
      </c>
      <c r="D9" s="4">
        <v>443965.1</v>
      </c>
      <c r="E9" s="4">
        <v>303608.51</v>
      </c>
      <c r="F9" s="4">
        <v>397920.22</v>
      </c>
    </row>
    <row r="10" spans="2:6" x14ac:dyDescent="0.25">
      <c r="B10" s="7" t="s">
        <v>8</v>
      </c>
      <c r="C10" s="3" t="s">
        <v>63</v>
      </c>
      <c r="D10" s="4">
        <v>430646.14699999988</v>
      </c>
      <c r="E10" s="4">
        <v>294500.25469999999</v>
      </c>
      <c r="F10" s="4">
        <v>397920.22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22F2-CCB3-4621-8274-2FA5DB103911}">
  <dimension ref="A1:Q16"/>
  <sheetViews>
    <sheetView workbookViewId="0">
      <selection activeCell="J24" sqref="J24"/>
    </sheetView>
  </sheetViews>
  <sheetFormatPr defaultRowHeight="15" x14ac:dyDescent="0.25"/>
  <cols>
    <col min="1" max="1" width="15.42578125" bestFit="1" customWidth="1"/>
    <col min="2" max="2" width="4.28515625" bestFit="1" customWidth="1"/>
    <col min="3" max="3" width="5.7109375" bestFit="1" customWidth="1"/>
    <col min="4" max="4" width="8.7109375" bestFit="1" customWidth="1"/>
    <col min="5" max="5" width="17.42578125" bestFit="1" customWidth="1"/>
    <col min="6" max="15" width="12" bestFit="1" customWidth="1"/>
    <col min="16" max="16" width="34.42578125" bestFit="1" customWidth="1"/>
    <col min="17" max="17" width="12" bestFit="1" customWidth="1"/>
  </cols>
  <sheetData>
    <row r="1" spans="1:17" x14ac:dyDescent="0.25">
      <c r="A1" s="1" t="s">
        <v>33</v>
      </c>
      <c r="B1" s="1" t="s">
        <v>0</v>
      </c>
      <c r="C1" s="1" t="s">
        <v>34</v>
      </c>
      <c r="D1" s="1" t="s">
        <v>35</v>
      </c>
      <c r="E1" s="1" t="s">
        <v>36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37</v>
      </c>
      <c r="Q1" s="1" t="s">
        <v>38</v>
      </c>
    </row>
    <row r="2" spans="1:17" x14ac:dyDescent="0.25">
      <c r="A2" t="s">
        <v>39</v>
      </c>
      <c r="B2" t="s">
        <v>5</v>
      </c>
      <c r="C2" t="s">
        <v>40</v>
      </c>
      <c r="D2" t="s">
        <v>41</v>
      </c>
      <c r="E2" t="s">
        <v>42</v>
      </c>
      <c r="F2">
        <v>0.48499669811320761</v>
      </c>
      <c r="G2">
        <v>0.47199976415094341</v>
      </c>
      <c r="H2">
        <v>0.46544575471698107</v>
      </c>
      <c r="I2">
        <v>0.45567028301886792</v>
      </c>
      <c r="J2">
        <v>0.43934080188679248</v>
      </c>
      <c r="K2">
        <v>0.43934080188679248</v>
      </c>
      <c r="L2">
        <v>0.43934080188679248</v>
      </c>
      <c r="M2">
        <v>0.43934080188679248</v>
      </c>
      <c r="N2">
        <v>0.43934080188679248</v>
      </c>
      <c r="O2">
        <v>0.43934080188679248</v>
      </c>
      <c r="P2" t="s">
        <v>30</v>
      </c>
    </row>
    <row r="3" spans="1:17" x14ac:dyDescent="0.25">
      <c r="A3" t="s">
        <v>5</v>
      </c>
      <c r="B3" t="s">
        <v>5</v>
      </c>
      <c r="C3" t="s">
        <v>40</v>
      </c>
      <c r="D3" t="s">
        <v>41</v>
      </c>
      <c r="E3" t="s">
        <v>42</v>
      </c>
      <c r="F3">
        <v>1.2427229437229399</v>
      </c>
      <c r="G3">
        <v>0.72375</v>
      </c>
      <c r="I3">
        <v>1.0009534992954401</v>
      </c>
      <c r="P3" t="s">
        <v>12</v>
      </c>
      <c r="Q3">
        <v>1.1105481782191451</v>
      </c>
    </row>
    <row r="4" spans="1:17" x14ac:dyDescent="0.25">
      <c r="A4" t="s">
        <v>5</v>
      </c>
      <c r="B4" t="s">
        <v>5</v>
      </c>
      <c r="C4" t="s">
        <v>40</v>
      </c>
      <c r="D4" t="s">
        <v>41</v>
      </c>
      <c r="E4" t="s">
        <v>42</v>
      </c>
      <c r="F4">
        <v>1.243127641589179</v>
      </c>
      <c r="G4">
        <v>0.72375</v>
      </c>
      <c r="I4">
        <v>1.0009534992954401</v>
      </c>
      <c r="P4" t="s">
        <v>43</v>
      </c>
      <c r="Q4">
        <v>1.0316717791411021</v>
      </c>
    </row>
    <row r="5" spans="1:17" x14ac:dyDescent="0.25">
      <c r="A5" t="s">
        <v>5</v>
      </c>
      <c r="B5" t="s">
        <v>5</v>
      </c>
      <c r="C5" t="s">
        <v>40</v>
      </c>
      <c r="D5" t="s">
        <v>41</v>
      </c>
      <c r="E5" t="s">
        <v>42</v>
      </c>
      <c r="F5">
        <v>2.3895576923076902</v>
      </c>
      <c r="G5">
        <v>0.72375</v>
      </c>
      <c r="I5">
        <v>1.0009534992954401</v>
      </c>
      <c r="P5" t="s">
        <v>44</v>
      </c>
      <c r="Q5">
        <v>2.1424534363107219</v>
      </c>
    </row>
    <row r="6" spans="1:17" x14ac:dyDescent="0.25">
      <c r="A6" t="s">
        <v>5</v>
      </c>
      <c r="B6" t="s">
        <v>5</v>
      </c>
      <c r="C6" t="s">
        <v>40</v>
      </c>
      <c r="D6" t="s">
        <v>41</v>
      </c>
      <c r="E6" t="s">
        <v>42</v>
      </c>
      <c r="F6">
        <v>0.9</v>
      </c>
      <c r="G6">
        <v>0.60768579928491495</v>
      </c>
      <c r="H6">
        <v>0.40014097859743802</v>
      </c>
      <c r="I6">
        <v>1.0009534992954401</v>
      </c>
      <c r="P6" t="s">
        <v>13</v>
      </c>
      <c r="Q6">
        <v>0.72375</v>
      </c>
    </row>
    <row r="7" spans="1:17" x14ac:dyDescent="0.25">
      <c r="A7" t="s">
        <v>5</v>
      </c>
      <c r="B7" t="s">
        <v>5</v>
      </c>
      <c r="C7" t="s">
        <v>40</v>
      </c>
      <c r="D7" t="s">
        <v>41</v>
      </c>
      <c r="E7" t="s">
        <v>42</v>
      </c>
      <c r="F7">
        <v>0.81984328002456397</v>
      </c>
      <c r="G7">
        <v>0.57238551317783803</v>
      </c>
      <c r="H7">
        <v>0.39997226806633951</v>
      </c>
      <c r="I7">
        <v>1.0009534992954401</v>
      </c>
      <c r="P7" t="s">
        <v>45</v>
      </c>
      <c r="Q7">
        <v>0.69825606401194429</v>
      </c>
    </row>
    <row r="8" spans="1:17" x14ac:dyDescent="0.25">
      <c r="A8" t="s">
        <v>5</v>
      </c>
      <c r="B8" t="s">
        <v>5</v>
      </c>
      <c r="C8" t="s">
        <v>40</v>
      </c>
      <c r="D8" t="s">
        <v>41</v>
      </c>
      <c r="E8" t="s">
        <v>42</v>
      </c>
      <c r="F8">
        <v>1.422501011736135</v>
      </c>
      <c r="G8">
        <v>0.61749720670390995</v>
      </c>
      <c r="H8">
        <v>0.40137041667707751</v>
      </c>
      <c r="I8">
        <v>1.0009534992954401</v>
      </c>
      <c r="P8" t="s">
        <v>46</v>
      </c>
      <c r="Q8">
        <v>1.33638128292069</v>
      </c>
    </row>
    <row r="9" spans="1:17" x14ac:dyDescent="0.25">
      <c r="A9" t="s">
        <v>5</v>
      </c>
      <c r="B9" t="s">
        <v>5</v>
      </c>
      <c r="C9" t="s">
        <v>40</v>
      </c>
      <c r="D9" t="s">
        <v>41</v>
      </c>
      <c r="E9" t="s">
        <v>42</v>
      </c>
      <c r="F9">
        <v>0.81143722943722896</v>
      </c>
      <c r="G9">
        <v>0.47199999999999998</v>
      </c>
      <c r="I9">
        <v>0.45566932832315599</v>
      </c>
      <c r="P9" t="s">
        <v>14</v>
      </c>
      <c r="Q9">
        <v>0.7000634920634915</v>
      </c>
    </row>
    <row r="10" spans="1:17" x14ac:dyDescent="0.25">
      <c r="A10" t="s">
        <v>5</v>
      </c>
      <c r="B10" t="s">
        <v>5</v>
      </c>
      <c r="C10" t="s">
        <v>40</v>
      </c>
      <c r="D10" t="s">
        <v>41</v>
      </c>
      <c r="E10" t="s">
        <v>42</v>
      </c>
      <c r="F10">
        <v>0.70024513947590805</v>
      </c>
      <c r="G10">
        <v>0.47199999999999998</v>
      </c>
      <c r="I10">
        <v>0.45566932832315599</v>
      </c>
      <c r="P10" t="s">
        <v>47</v>
      </c>
      <c r="Q10">
        <v>0.5321344580777092</v>
      </c>
    </row>
    <row r="11" spans="1:17" x14ac:dyDescent="0.25">
      <c r="A11" t="s">
        <v>5</v>
      </c>
      <c r="B11" t="s">
        <v>5</v>
      </c>
      <c r="C11" t="s">
        <v>40</v>
      </c>
      <c r="D11" t="s">
        <v>41</v>
      </c>
      <c r="E11" t="s">
        <v>42</v>
      </c>
      <c r="F11">
        <v>1.3850378889635051</v>
      </c>
      <c r="G11">
        <v>0.47199999999999998</v>
      </c>
      <c r="I11">
        <v>0.45566932832315599</v>
      </c>
      <c r="P11" t="s">
        <v>48</v>
      </c>
      <c r="Q11">
        <v>1.2318990000746179</v>
      </c>
    </row>
    <row r="12" spans="1:17" x14ac:dyDescent="0.25">
      <c r="A12" t="s">
        <v>5</v>
      </c>
      <c r="B12" t="s">
        <v>5</v>
      </c>
      <c r="C12" t="s">
        <v>40</v>
      </c>
      <c r="D12" t="s">
        <v>41</v>
      </c>
      <c r="E12" t="s">
        <v>42</v>
      </c>
      <c r="F12">
        <v>1.3172863203463161</v>
      </c>
      <c r="G12">
        <v>0.76717500000000005</v>
      </c>
      <c r="H12">
        <v>0.42414943731328431</v>
      </c>
      <c r="I12">
        <v>1.0610107092531671</v>
      </c>
      <c r="P12" t="s">
        <v>15</v>
      </c>
      <c r="Q12">
        <v>1.1771810689122939</v>
      </c>
    </row>
    <row r="13" spans="1:17" x14ac:dyDescent="0.25">
      <c r="A13" t="s">
        <v>5</v>
      </c>
      <c r="B13" t="s">
        <v>5</v>
      </c>
      <c r="C13" t="s">
        <v>40</v>
      </c>
      <c r="D13" t="s">
        <v>41</v>
      </c>
      <c r="E13" t="s">
        <v>42</v>
      </c>
      <c r="F13">
        <v>1.3177153000845301</v>
      </c>
      <c r="G13">
        <v>0.76717500000000005</v>
      </c>
      <c r="H13">
        <v>0.4239706041503199</v>
      </c>
      <c r="I13">
        <v>1.0610107092531671</v>
      </c>
      <c r="P13" t="s">
        <v>49</v>
      </c>
      <c r="Q13">
        <v>1.0935720858895679</v>
      </c>
    </row>
    <row r="14" spans="1:17" x14ac:dyDescent="0.25">
      <c r="A14" t="s">
        <v>5</v>
      </c>
      <c r="B14" t="s">
        <v>5</v>
      </c>
      <c r="C14" t="s">
        <v>40</v>
      </c>
      <c r="D14" t="s">
        <v>41</v>
      </c>
      <c r="E14" t="s">
        <v>42</v>
      </c>
      <c r="F14">
        <v>2.532931153846151</v>
      </c>
      <c r="G14">
        <v>0.76717500000000005</v>
      </c>
      <c r="H14">
        <v>0.42545264167770219</v>
      </c>
      <c r="I14">
        <v>1.0610107092531671</v>
      </c>
      <c r="P14" t="s">
        <v>50</v>
      </c>
      <c r="Q14">
        <v>2.2710006424893661</v>
      </c>
    </row>
    <row r="15" spans="1:17" x14ac:dyDescent="0.25">
      <c r="A15" t="s">
        <v>5</v>
      </c>
      <c r="B15" t="s">
        <v>5</v>
      </c>
      <c r="C15" t="s">
        <v>40</v>
      </c>
      <c r="D15" t="s">
        <v>41</v>
      </c>
      <c r="E15" t="s">
        <v>42</v>
      </c>
      <c r="P15" t="s">
        <v>51</v>
      </c>
      <c r="Q15">
        <v>1.0935720858895679</v>
      </c>
    </row>
    <row r="16" spans="1:17" x14ac:dyDescent="0.25">
      <c r="A16" t="s">
        <v>5</v>
      </c>
      <c r="B16" t="s">
        <v>5</v>
      </c>
      <c r="C16" t="s">
        <v>40</v>
      </c>
      <c r="D16" t="s">
        <v>41</v>
      </c>
      <c r="E16" t="s">
        <v>42</v>
      </c>
      <c r="P16" t="s">
        <v>52</v>
      </c>
      <c r="Q16">
        <v>1.1771810689122939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all_invoice_data</vt:lpstr>
      <vt:lpstr>rates_table_data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Nigel Zhuwaki</cp:lastModifiedBy>
  <dcterms:created xsi:type="dcterms:W3CDTF">2025-06-20T17:47:12Z</dcterms:created>
  <dcterms:modified xsi:type="dcterms:W3CDTF">2025-06-20T21:28:09Z</dcterms:modified>
</cp:coreProperties>
</file>