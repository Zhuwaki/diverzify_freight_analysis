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zhuw\OneDrive\Desktop\10. Application Development\Diverzify\diverzify_freight_analysis\notebooks\nigel\bruce_tables\"/>
    </mc:Choice>
  </mc:AlternateContent>
  <xr:revisionPtr revIDLastSave="0" documentId="13_ncr:1_{86207134-ECB6-4869-9A49-DE9906839D0D}" xr6:coauthVersionLast="47" xr6:coauthVersionMax="47" xr10:uidLastSave="{00000000-0000-0000-0000-000000000000}"/>
  <bookViews>
    <workbookView xWindow="20370" yWindow="-120" windowWidth="29040" windowHeight="15990" activeTab="3" xr2:uid="{00000000-000D-0000-FFFF-FFFF00000000}"/>
  </bookViews>
  <sheets>
    <sheet name="dashboard" sheetId="1" r:id="rId1"/>
    <sheet name="all_invoice_data" sheetId="2" r:id="rId2"/>
    <sheet name="stats" sheetId="4" r:id="rId3"/>
    <sheet name="rates_table_data" sheetId="3" r:id="rId4"/>
  </sheets>
  <definedNames>
    <definedName name="_xlnm._FilterDatabase" localSheetId="3" hidden="1">rates_table_data!$A$1:$R$1</definedName>
    <definedName name="_xlnm._FilterDatabase" localSheetId="2" hidden="1">stats!$B$2:$H$50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 a="1"/>
  <c r="G9" i="1" s="1"/>
  <c r="H9" i="1" a="1"/>
  <c r="H9" i="1" s="1"/>
  <c r="L9" i="1" a="1"/>
  <c r="L9" i="1" s="1"/>
  <c r="P9" i="1" a="1"/>
  <c r="P9" i="1" s="1"/>
  <c r="G29" i="1" a="1"/>
  <c r="G29" i="1" s="1"/>
  <c r="G23" i="1" a="1"/>
  <c r="G23" i="1" s="1"/>
  <c r="H17" i="1" a="1"/>
  <c r="H17" i="1" s="1"/>
  <c r="G17" i="1" a="1"/>
  <c r="G17" i="1" s="1"/>
  <c r="H29" i="1" a="1"/>
  <c r="H29" i="1" s="1"/>
  <c r="H23" i="1" a="1"/>
  <c r="H23" i="1" s="1"/>
  <c r="F3" i="1" a="1"/>
  <c r="F3" i="1" s="1"/>
  <c r="E3" i="1" a="1"/>
  <c r="E3" i="1" s="1"/>
  <c r="D3" i="1" a="1"/>
  <c r="D3" i="1" s="1"/>
  <c r="B3" i="1" a="1"/>
  <c r="B3" i="1" s="1"/>
  <c r="C3" i="1" a="1"/>
  <c r="C3" i="1" s="1"/>
  <c r="G3" i="1" l="1"/>
  <c r="G4" i="1"/>
  <c r="D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<sst xmlns="http://schemas.openxmlformats.org/spreadsheetml/2006/main" count="1623" uniqueCount="78">
  <si>
    <t>site</t>
  </si>
  <si>
    <t>measure</t>
  </si>
  <si>
    <t>Manufacturer(Priority)</t>
  </si>
  <si>
    <t>Manufacturer(NonPriority)</t>
  </si>
  <si>
    <t>Distributor</t>
  </si>
  <si>
    <t>SPJ</t>
  </si>
  <si>
    <t>SPN</t>
  </si>
  <si>
    <t>SPT</t>
  </si>
  <si>
    <t>SPW</t>
  </si>
  <si>
    <t>Select Site</t>
  </si>
  <si>
    <t>Site</t>
  </si>
  <si>
    <t>Measure</t>
  </si>
  <si>
    <t>georgia_historical_market_median</t>
  </si>
  <si>
    <t>all_states_historical_market_median</t>
  </si>
  <si>
    <t>georgia_historical_xgs_median</t>
  </si>
  <si>
    <t>recommended_median</t>
  </si>
  <si>
    <t>georgia_historical_market</t>
  </si>
  <si>
    <t>all_states_historical_market</t>
  </si>
  <si>
    <t>georgia_historical_xgs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</si>
  <si>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</si>
  <si>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</si>
  <si>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</si>
  <si>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</si>
  <si>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</si>
  <si>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</si>
  <si>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</si>
  <si>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</si>
  <si>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</si>
  <si>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</si>
  <si>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vendor</t>
  </si>
  <si>
    <t>Total</t>
  </si>
  <si>
    <t>site_description</t>
  </si>
  <si>
    <t>unit</t>
  </si>
  <si>
    <t>unitclass</t>
  </si>
  <si>
    <t>commodity_group</t>
  </si>
  <si>
    <t>source</t>
  </si>
  <si>
    <t>Jacksonville</t>
  </si>
  <si>
    <t>SQYD</t>
  </si>
  <si>
    <t>Area</t>
  </si>
  <si>
    <t>1CBL</t>
  </si>
  <si>
    <t>georgia_historical_market_wavg</t>
  </si>
  <si>
    <t>georgia_historical_market_q3</t>
  </si>
  <si>
    <t>all_states_historical_market_wavg</t>
  </si>
  <si>
    <t>all_states_historical_market_q3</t>
  </si>
  <si>
    <t>georgia_historical_xgs_wavg</t>
  </si>
  <si>
    <t>georgia_historical_xgs_q3</t>
  </si>
  <si>
    <t>recommended_wavg</t>
  </si>
  <si>
    <t>recommended_q3</t>
  </si>
  <si>
    <t>recommended_min</t>
  </si>
  <si>
    <t>recommended_middle</t>
  </si>
  <si>
    <t>Freight Spend (`000 USD)</t>
  </si>
  <si>
    <t>median</t>
  </si>
  <si>
    <t>Freight Rate Tables (USD/UoM)</t>
  </si>
  <si>
    <t>weighted average</t>
  </si>
  <si>
    <t>Q3</t>
  </si>
  <si>
    <t>Commodity</t>
  </si>
  <si>
    <t>UOM</t>
  </si>
  <si>
    <t>1CPT</t>
  </si>
  <si>
    <t>1VNL</t>
  </si>
  <si>
    <t>SQFT</t>
  </si>
  <si>
    <t>metric</t>
  </si>
  <si>
    <t>baseline</t>
  </si>
  <si>
    <t>attribute</t>
  </si>
  <si>
    <t>recommended rate</t>
  </si>
  <si>
    <t>unknown</t>
  </si>
  <si>
    <t>recommended_max</t>
  </si>
  <si>
    <t>CWT</t>
  </si>
  <si>
    <t>Weight</t>
  </si>
  <si>
    <t>statistic</t>
  </si>
  <si>
    <t>Norcross</t>
  </si>
  <si>
    <t>Tampa</t>
  </si>
  <si>
    <t>Longwood</t>
  </si>
  <si>
    <t>Base</t>
  </si>
  <si>
    <t>XGS</t>
  </si>
  <si>
    <t>discounted</t>
  </si>
  <si>
    <t>Min(Q2)</t>
  </si>
  <si>
    <t>Max(Q3)</t>
  </si>
  <si>
    <t>Weighted
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</si>
</sst>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0.0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3"/>
      <name val="Lato"/>
      <family val="2"/>
    </font>
    <font>
      <sz val="11"/>
      <color theme="1"/>
      <name val="Lato"/>
      <family val="2"/>
    </font>
    <font>
      <b/>
      <sz val="11"/>
      <color theme="1"/>
      <name val="Lato"/>
      <family val="2"/>
    </font>
    <font>
      <b/>
      <sz val="12"/>
      <color theme="1"/>
      <name val="Lato"/>
      <family val="2"/>
    </font>
    <font>
      <b/>
      <sz val="14"/>
      <color theme="1"/>
      <name val="Lato"/>
      <family val="2"/>
    </font>
    <font>
      <b/>
      <i/>
      <sz val="11"/>
      <color theme="1"/>
      <name val="Lato"/>
      <family val="2"/>
    </font>
    <font>
      <i/>
      <sz val="11"/>
      <color theme="1"/>
      <name val="Lato"/>
      <family val="2"/>
    </font>
    <font>
      <sz val="11"/>
      <color rgb="FF3F3F76"/>
      <name val="Lato"/>
      <family val="2"/>
    </font>
    <font>
      <b/>
      <i/>
      <sz val="12"/>
      <color theme="1"/>
      <name val="Lato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2" fillId="3" borderId="0" applyNumberFormat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0" fillId="0" borderId="0" xfId="1" applyNumberFormat="1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6" fillId="0" borderId="0" xfId="0" applyFont="1"/>
    <xf numFmtId="0" fontId="6" fillId="0" borderId="4" xfId="0" applyFont="1" applyBorder="1"/>
    <xf numFmtId="9" fontId="6" fillId="3" borderId="4" xfId="4" applyNumberFormat="1" applyFont="1" applyBorder="1" applyAlignment="1">
      <alignment horizontal="left"/>
    </xf>
    <xf numFmtId="0" fontId="6" fillId="0" borderId="0" xfId="0" applyFont="1" applyAlignment="1">
      <alignment vertical="center"/>
    </xf>
    <xf numFmtId="0" fontId="5" fillId="0" borderId="0" xfId="2" applyFont="1" applyBorder="1"/>
    <xf numFmtId="164" fontId="6" fillId="3" borderId="5" xfId="4" applyNumberFormat="1" applyFont="1" applyBorder="1"/>
    <xf numFmtId="164" fontId="6" fillId="3" borderId="4" xfId="4" applyNumberFormat="1" applyFont="1" applyBorder="1"/>
    <xf numFmtId="164" fontId="6" fillId="3" borderId="7" xfId="4" applyNumberFormat="1" applyFont="1" applyBorder="1"/>
    <xf numFmtId="164" fontId="6" fillId="3" borderId="8" xfId="4" applyNumberFormat="1" applyFont="1" applyBorder="1"/>
    <xf numFmtId="0" fontId="6" fillId="3" borderId="4" xfId="4" applyFont="1" applyBorder="1"/>
    <xf numFmtId="0" fontId="6" fillId="3" borderId="9" xfId="4" applyFont="1" applyBorder="1"/>
    <xf numFmtId="0" fontId="6" fillId="0" borderId="10" xfId="0" applyFont="1" applyBorder="1"/>
    <xf numFmtId="0" fontId="11" fillId="0" borderId="10" xfId="0" applyFont="1" applyBorder="1"/>
    <xf numFmtId="0" fontId="10" fillId="0" borderId="10" xfId="0" applyFont="1" applyBorder="1"/>
    <xf numFmtId="0" fontId="7" fillId="0" borderId="10" xfId="0" applyFont="1" applyBorder="1"/>
    <xf numFmtId="0" fontId="10" fillId="0" borderId="6" xfId="0" applyFont="1" applyBorder="1"/>
    <xf numFmtId="0" fontId="8" fillId="0" borderId="10" xfId="0" applyFont="1" applyBorder="1"/>
    <xf numFmtId="0" fontId="9" fillId="0" borderId="10" xfId="0" applyFont="1" applyBorder="1"/>
    <xf numFmtId="0" fontId="12" fillId="2" borderId="3" xfId="3" applyFont="1"/>
    <xf numFmtId="0" fontId="6" fillId="0" borderId="6" xfId="4" applyFont="1" applyFill="1" applyBorder="1"/>
    <xf numFmtId="0" fontId="6" fillId="0" borderId="10" xfId="4" applyFont="1" applyFill="1" applyBorder="1"/>
    <xf numFmtId="164" fontId="6" fillId="0" borderId="10" xfId="4" applyNumberFormat="1" applyFont="1" applyFill="1" applyBorder="1"/>
    <xf numFmtId="164" fontId="6" fillId="0" borderId="6" xfId="4" applyNumberFormat="1" applyFont="1" applyFill="1" applyBorder="1"/>
    <xf numFmtId="164" fontId="6" fillId="0" borderId="0" xfId="4" applyNumberFormat="1" applyFont="1" applyFill="1" applyBorder="1"/>
    <xf numFmtId="0" fontId="11" fillId="0" borderId="0" xfId="0" applyFont="1"/>
    <xf numFmtId="0" fontId="11" fillId="0" borderId="8" xfId="0" applyFont="1" applyBorder="1"/>
    <xf numFmtId="0" fontId="11" fillId="0" borderId="6" xfId="0" applyFont="1" applyBorder="1"/>
    <xf numFmtId="0" fontId="13" fillId="0" borderId="0" xfId="0" applyFont="1"/>
    <xf numFmtId="0" fontId="14" fillId="4" borderId="11" xfId="0" applyFont="1" applyFill="1" applyBorder="1" applyAlignment="1">
      <alignment horizontal="left" vertical="top"/>
    </xf>
    <xf numFmtId="0" fontId="14" fillId="4" borderId="12" xfId="0" applyFont="1" applyFill="1" applyBorder="1" applyAlignment="1">
      <alignment horizontal="center" vertical="top"/>
    </xf>
    <xf numFmtId="0" fontId="14" fillId="4" borderId="13" xfId="0" applyFont="1" applyFill="1" applyBorder="1" applyAlignment="1">
      <alignment horizontal="center" vertical="top"/>
    </xf>
    <xf numFmtId="0" fontId="0" fillId="0" borderId="11" xfId="0" applyBorder="1" applyAlignment="1">
      <alignment horizontal="left"/>
    </xf>
    <xf numFmtId="0" fontId="14" fillId="4" borderId="12" xfId="0" applyFont="1" applyFill="1" applyBorder="1" applyAlignment="1">
      <alignment horizontal="left" vertical="top"/>
    </xf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0" xfId="0" applyNumberFormat="1"/>
    <xf numFmtId="166" fontId="6" fillId="0" borderId="0" xfId="0" applyNumberFormat="1" applyFont="1"/>
    <xf numFmtId="0" fontId="1" fillId="0" borderId="14" xfId="0" applyFont="1" applyBorder="1" applyAlignment="1">
      <alignment horizontal="center" vertical="top"/>
    </xf>
    <xf numFmtId="0" fontId="6" fillId="0" borderId="0" xfId="0" applyFont="1" applyBorder="1"/>
    <xf numFmtId="166" fontId="6" fillId="0" borderId="8" xfId="0" applyNumberFormat="1" applyFont="1" applyBorder="1"/>
    <xf numFmtId="166" fontId="6" fillId="0" borderId="10" xfId="0" applyNumberFormat="1" applyFont="1" applyBorder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6" xfId="0" applyFont="1" applyBorder="1"/>
    <xf numFmtId="0" fontId="6" fillId="0" borderId="0" xfId="0" applyFont="1" applyFill="1" applyBorder="1"/>
    <xf numFmtId="0" fontId="6" fillId="0" borderId="0" xfId="0" applyFont="1" applyFill="1"/>
    <xf numFmtId="166" fontId="6" fillId="0" borderId="6" xfId="0" applyNumberFormat="1" applyFont="1" applyBorder="1"/>
  </cellXfs>
  <cellStyles count="5">
    <cellStyle name="20% - Accent1" xfId="4" builtinId="30"/>
    <cellStyle name="Comma" xfId="1" builtinId="3"/>
    <cellStyle name="Heading 3" xfId="2" builtinId="18"/>
    <cellStyle name="Input" xfId="3" builtinId="20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3301991097266"/>
          <c:y val="0.26009849526410972"/>
          <c:w val="0.86960495322700049"/>
          <c:h val="0.5753334031177066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dashboard!$D$2</c:f>
              <c:strCache>
                <c:ptCount val="1"/>
                <c:pt idx="0">
                  <c:v>Manufacturer(Priority)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Base</c:v>
                  </c:pt>
                  <c:pt idx="1">
                    <c:v>XGS</c:v>
                  </c:pt>
                </c:lvl>
                <c:lvl>
                  <c:pt idx="0">
                    <c:v>SPN</c:v>
                  </c:pt>
                  <c:pt idx="1">
                    <c:v>SPN</c:v>
                  </c:pt>
                </c:lvl>
              </c:multiLvlStrCache>
            </c:multiLvlStrRef>
          </c:cat>
          <c:val>
            <c:numRef>
              <c:f>dashboard!$D$3:$D$4</c:f>
              <c:numCache>
                <c:formatCode>_(* #,##0_);_(* \(#,##0\);_(* "-"??_);_(@_)</c:formatCode>
                <c:ptCount val="2"/>
                <c:pt idx="0">
                  <c:v>201.76211999999998</c:v>
                </c:pt>
                <c:pt idx="1">
                  <c:v>171.49780200000001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F-4608-AFB8-A292A7E5627B}"/>
            </c:ext>
          </c:extLst>
        </c:ser>
        <c:ser>
          <c:idx val="1"/>
          <c:order val="1"/>
          <c:tx>
            <c:strRef>
              <c:f>dashboard!$E$2</c:f>
              <c:strCache>
                <c:ptCount val="1"/>
                <c:pt idx="0">
                  <c:v>Manufacturer(NonPriority)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Base</c:v>
                  </c:pt>
                  <c:pt idx="1">
                    <c:v>XGS</c:v>
                  </c:pt>
                </c:lvl>
                <c:lvl>
                  <c:pt idx="0">
                    <c:v>SPN</c:v>
                  </c:pt>
                  <c:pt idx="1">
                    <c:v>SPN</c:v>
                  </c:pt>
                </c:lvl>
              </c:multiLvlStrCache>
            </c:multiLvlStrRef>
          </c:cat>
          <c:val>
            <c:numRef>
              <c:f>dashboard!$E$3:$E$4</c:f>
              <c:numCache>
                <c:formatCode>_(* #,##0_);_(* \(#,##0\);_(* "-"??_);_(@_)</c:formatCode>
                <c:ptCount val="2"/>
                <c:pt idx="0">
                  <c:v>429.74008000000003</c:v>
                </c:pt>
                <c:pt idx="1">
                  <c:v>365.27906800000005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F-4608-AFB8-A292A7E5627B}"/>
            </c:ext>
          </c:extLst>
        </c:ser>
        <c:ser>
          <c:idx val="2"/>
          <c:order val="2"/>
          <c:tx>
            <c:strRef>
              <c:f>dashboard!$F$2</c:f>
              <c:strCache>
                <c:ptCount val="1"/>
                <c:pt idx="0">
                  <c:v>Distributor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Base</c:v>
                  </c:pt>
                  <c:pt idx="1">
                    <c:v>XGS</c:v>
                  </c:pt>
                </c:lvl>
                <c:lvl>
                  <c:pt idx="0">
                    <c:v>SPN</c:v>
                  </c:pt>
                  <c:pt idx="1">
                    <c:v>SPN</c:v>
                  </c:pt>
                </c:lvl>
              </c:multiLvlStrCache>
            </c:multiLvlStrRef>
          </c:cat>
          <c:val>
            <c:numRef>
              <c:f>dashboard!$F$3:$F$4</c:f>
              <c:numCache>
                <c:formatCode>_(* #,##0_);_(* \(#,##0\);_(* "-"??_);_(@_)</c:formatCode>
                <c:ptCount val="2"/>
                <c:pt idx="0">
                  <c:v>499.03787</c:v>
                </c:pt>
                <c:pt idx="1">
                  <c:v>499.03787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5F-4608-AFB8-A292A7E5627B}"/>
            </c:ext>
          </c:extLst>
        </c:ser>
        <c:ser>
          <c:idx val="3"/>
          <c:order val="3"/>
          <c:tx>
            <c:strRef>
              <c:f>dashboard!$G$2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Lato" panose="020F0502020204030203" pitchFamily="34" charset="0"/>
                    <a:ea typeface="Lato" panose="020F0502020204030203" pitchFamily="34" charset="0"/>
                    <a:cs typeface="Lato" panose="020F0502020204030203" pitchFamily="34" charset="0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dashboard!$B$3:$C$4</c:f>
              <c:multiLvlStrCache>
                <c:ptCount val="2"/>
                <c:lvl>
                  <c:pt idx="0">
                    <c:v>Base</c:v>
                  </c:pt>
                  <c:pt idx="1">
                    <c:v>XGS</c:v>
                  </c:pt>
                </c:lvl>
                <c:lvl>
                  <c:pt idx="0">
                    <c:v>SPN</c:v>
                  </c:pt>
                  <c:pt idx="1">
                    <c:v>SPN</c:v>
                  </c:pt>
                </c:lvl>
              </c:multiLvlStrCache>
            </c:multiLvlStrRef>
          </c:cat>
          <c:val>
            <c:numRef>
              <c:f>dashboard!$G$3:$G$4</c:f>
              <c:numCache>
                <c:formatCode>_(* #,##0_);_(* \(#,##0\);_(* "-"??_);_(@_)</c:formatCode>
                <c:ptCount val="2"/>
                <c:pt idx="0">
                  <c:v>1130.54007</c:v>
                </c:pt>
                <c:pt idx="1">
                  <c:v>1035.81474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5F-4608-AFB8-A292A7E562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1444527"/>
        <c:axId val="441428687"/>
      </c:barChart>
      <c:catAx>
        <c:axId val="44144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Lato" panose="020F0502020204030203" pitchFamily="34" charset="0"/>
                <a:ea typeface="Lato" panose="020F0502020204030203" pitchFamily="34" charset="0"/>
                <a:cs typeface="Lato" panose="020F0502020204030203" pitchFamily="34" charset="0"/>
              </a:defRPr>
            </a:pPr>
            <a:endParaRPr lang="en-US"/>
          </a:p>
        </c:txPr>
        <c:crossAx val="441428687"/>
        <c:crosses val="autoZero"/>
        <c:auto val="1"/>
        <c:lblAlgn val="ctr"/>
        <c:lblOffset val="100"/>
        <c:noMultiLvlLbl val="0"/>
      </c:catAx>
      <c:valAx>
        <c:axId val="44142868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44144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Lato" panose="020F0502020204030203" pitchFamily="34" charset="0"/>
          <a:ea typeface="Lato" panose="020F0502020204030203" pitchFamily="34" charset="0"/>
          <a:cs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7</xdr:row>
      <xdr:rowOff>0</xdr:rowOff>
    </xdr:from>
    <xdr:to>
      <xdr:col>5</xdr:col>
      <xdr:colOff>592667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9A30E0-1FE3-0350-896F-7DD22D15B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21166</xdr:rowOff>
    </xdr:from>
    <xdr:to>
      <xdr:col>3</xdr:col>
      <xdr:colOff>1217084</xdr:colOff>
      <xdr:row>11</xdr:row>
      <xdr:rowOff>86784</xdr:rowOff>
    </xdr:to>
    <xdr:sp macro="" textlink="$D$1">
      <xdr:nvSpPr>
        <xdr:cNvPr id="4" name="Oval 3">
          <a:extLst>
            <a:ext uri="{FF2B5EF4-FFF2-40B4-BE49-F238E27FC236}">
              <a16:creationId xmlns:a16="http://schemas.microsoft.com/office/drawing/2014/main" id="{0E8195CE-50D0-1CED-60A0-6FA590ACFB4D}"/>
            </a:ext>
          </a:extLst>
        </xdr:cNvPr>
        <xdr:cNvSpPr/>
      </xdr:nvSpPr>
      <xdr:spPr>
        <a:xfrm>
          <a:off x="3585633" y="2169583"/>
          <a:ext cx="531284" cy="531284"/>
        </a:xfrm>
        <a:prstGeom prst="ellipse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lIns="0" tIns="0" rIns="0" bIns="0" rtlCol="0" anchor="ctr"/>
        <a:lstStyle/>
        <a:p>
          <a:pPr algn="ctr"/>
          <a:fld id="{08677C9C-4B5D-4866-B148-A7B1B20CDB6E}" type="TxLink">
            <a:rPr lang="en-US" sz="1100" b="1" i="0" u="none" strike="noStrike">
              <a:solidFill>
                <a:sysClr val="windowText" lastClr="000000"/>
              </a:solidFill>
              <a:latin typeface="Lato" panose="020F0502020204030203" pitchFamily="34" charset="0"/>
              <a:ea typeface="Lato" panose="020F0502020204030203" pitchFamily="34" charset="0"/>
              <a:cs typeface="Lato" panose="020F0502020204030203" pitchFamily="34" charset="0"/>
            </a:rPr>
            <a:pPr algn="ctr"/>
            <a:t>-8%</a:t>
          </a:fld>
          <a:endParaRPr lang="en-GB" sz="1100" b="1">
            <a:solidFill>
              <a:sysClr val="windowText" lastClr="000000"/>
            </a:solidFill>
            <a:latin typeface="Lato" panose="020F0502020204030203" pitchFamily="34" charset="0"/>
            <a:ea typeface="Lato" panose="020F0502020204030203" pitchFamily="34" charset="0"/>
            <a:cs typeface="Lato" panose="020F0502020204030203" pitchFamily="34" charset="0"/>
          </a:endParaRPr>
        </a:p>
      </xdr:txBody>
    </xdr:sp>
    <xdr:clientData/>
  </xdr:twoCellAnchor>
  <xdr:twoCellAnchor>
    <xdr:from>
      <xdr:col>2</xdr:col>
      <xdr:colOff>411270</xdr:colOff>
      <xdr:row>10</xdr:row>
      <xdr:rowOff>58367</xdr:rowOff>
    </xdr:from>
    <xdr:to>
      <xdr:col>3</xdr:col>
      <xdr:colOff>664633</xdr:colOff>
      <xdr:row>18</xdr:row>
      <xdr:rowOff>193146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D97347B3-3D6E-B107-6B8E-5B14ED62358E}"/>
            </a:ext>
          </a:extLst>
        </xdr:cNvPr>
        <xdr:cNvCxnSpPr/>
      </xdr:nvCxnSpPr>
      <xdr:spPr>
        <a:xfrm rot="10800000" flipV="1">
          <a:off x="2530583" y="2606305"/>
          <a:ext cx="1027269" cy="2194560"/>
        </a:xfrm>
        <a:prstGeom prst="bentConnector3">
          <a:avLst>
            <a:gd name="adj1" fmla="val 99515"/>
          </a:avLst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1217084</xdr:colOff>
      <xdr:row>10</xdr:row>
      <xdr:rowOff>53975</xdr:rowOff>
    </xdr:from>
    <xdr:to>
      <xdr:col>4</xdr:col>
      <xdr:colOff>811530</xdr:colOff>
      <xdr:row>19</xdr:row>
      <xdr:rowOff>53975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AD4B4E29-248F-DE49-DD9B-EC89E1DE0711}"/>
            </a:ext>
          </a:extLst>
        </xdr:cNvPr>
        <xdr:cNvCxnSpPr>
          <a:stCxn id="4" idx="6"/>
        </xdr:cNvCxnSpPr>
      </xdr:nvCxnSpPr>
      <xdr:spPr>
        <a:xfrm>
          <a:off x="4110303" y="2601913"/>
          <a:ext cx="1023196" cy="2286000"/>
        </a:xfrm>
        <a:prstGeom prst="bentConnector2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2A45B-85EC-461B-97CA-A28BB481D246}" name="Table1" displayName="Table1" ref="B2:F10" totalsRowShown="0" headerRowDxfId="5" dataDxfId="4" dataCellStyle="Comma">
  <autoFilter ref="B2:F10" xr:uid="{32E2A45B-85EC-461B-97CA-A28BB481D246}"/>
  <tableColumns count="5">
    <tableColumn id="1" xr3:uid="{F37FD3A4-67B2-4B7D-BD21-E8F8BA69C8B6}" name="site" dataDxfId="3"/>
    <tableColumn id="2" xr3:uid="{0D0D5C11-07A0-4C71-ABE3-4845A3F4F1F1}" name="measure"/>
    <tableColumn id="3" xr3:uid="{E9CAB3AE-8D72-4642-9C46-02A29ECC4C4A}" name="Manufacturer(Priority)" dataDxfId="2" dataCellStyle="Comma"/>
    <tableColumn id="4" xr3:uid="{B7D5C30A-D90C-474B-9347-51BD26180926}" name="Manufacturer(NonPriority)" dataDxfId="1" dataCellStyle="Comma"/>
    <tableColumn id="5" xr3:uid="{3D1E0DCF-E07C-4DDC-B257-C643CFAE7BED}" name="Distributor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3"/>
  <sheetViews>
    <sheetView showGridLines="0" zoomScale="75" zoomScaleNormal="75" workbookViewId="0">
      <selection activeCell="C2" sqref="C2"/>
    </sheetView>
  </sheetViews>
  <sheetFormatPr defaultRowHeight="18" x14ac:dyDescent="0.35"/>
  <cols>
    <col min="1" max="1" width="9.140625" style="6"/>
    <col min="2" max="2" width="22.7109375" style="6" bestFit="1" customWidth="1"/>
    <col min="3" max="3" width="11.5703125" style="6" bestFit="1" customWidth="1"/>
    <col min="4" max="4" width="21.42578125" style="6" bestFit="1" customWidth="1"/>
    <col min="5" max="5" width="25.140625" style="6" bestFit="1" customWidth="1"/>
    <col min="6" max="6" width="10.5703125" style="6" bestFit="1" customWidth="1"/>
    <col min="7" max="7" width="34.5703125" style="6" bestFit="1" customWidth="1"/>
    <col min="8" max="8" width="9.140625" style="6" bestFit="1" customWidth="1"/>
    <col min="9" max="9" width="10.85546875" style="6" bestFit="1" customWidth="1"/>
    <col min="10" max="10" width="9.7109375" style="6" bestFit="1" customWidth="1"/>
    <col min="11" max="11" width="8.28515625" style="6" bestFit="1" customWidth="1"/>
    <col min="12" max="12" width="9.140625" style="6" bestFit="1" customWidth="1"/>
    <col min="13" max="13" width="10.85546875" style="6" bestFit="1" customWidth="1"/>
    <col min="14" max="14" width="9.7109375" style="6" bestFit="1" customWidth="1"/>
    <col min="15" max="15" width="8.28515625" style="6" bestFit="1" customWidth="1"/>
    <col min="16" max="16" width="9.140625" style="6" bestFit="1" customWidth="1"/>
    <col min="17" max="17" width="10.85546875" style="6" bestFit="1" customWidth="1"/>
    <col min="18" max="18" width="9.7109375" style="6" bestFit="1" customWidth="1"/>
    <col min="19" max="20" width="6.7109375" style="6" customWidth="1"/>
    <col min="21" max="21" width="16.42578125" style="6" customWidth="1"/>
    <col min="22" max="22" width="10.28515625" style="6" bestFit="1" customWidth="1"/>
    <col min="23" max="23" width="6.7109375" style="6" bestFit="1" customWidth="1"/>
    <col min="24" max="16384" width="9.140625" style="6"/>
  </cols>
  <sheetData>
    <row r="1" spans="2:22" x14ac:dyDescent="0.35">
      <c r="B1" s="7" t="s">
        <v>9</v>
      </c>
      <c r="C1" s="24" t="s">
        <v>6</v>
      </c>
      <c r="D1" s="8">
        <f>(G4-G3)/G3</f>
        <v>-8.378768034290017E-2</v>
      </c>
    </row>
    <row r="2" spans="2:22" x14ac:dyDescent="0.35">
      <c r="B2" s="10" t="s">
        <v>10</v>
      </c>
      <c r="C2" s="10" t="s">
        <v>11</v>
      </c>
      <c r="D2" s="10" t="s">
        <v>2</v>
      </c>
      <c r="E2" s="10" t="s">
        <v>3</v>
      </c>
      <c r="F2" s="10" t="s">
        <v>4</v>
      </c>
      <c r="G2" s="10" t="s">
        <v>30</v>
      </c>
    </row>
    <row r="3" spans="2:22" x14ac:dyDescent="0.35">
      <c r="B3" s="15" t="str" cm="1">
        <f t="array" ref="B3:B4">_xlfn._xlws.FILTER(all_invoice_data!B3:B10, all_invoice_data!B3:B10=dashboard!C1, "No match")</f>
        <v>SPN</v>
      </c>
      <c r="C3" s="15" t="str" cm="1">
        <f t="array" ref="C3:C4">_xlfn._xlws.FILTER(all_invoice_data!C3:C10, all_invoice_data!B3:B10=dashboard!C1, "No match")</f>
        <v>Base</v>
      </c>
      <c r="D3" s="14" cm="1">
        <f t="array" ref="D3:D4">_xlfn._xlws.FILTER((all_invoice_data!D3:D10)/1000, all_invoice_data!B3:B10=dashboard!C1, "No match")</f>
        <v>201.76211999999998</v>
      </c>
      <c r="E3" s="12" cm="1">
        <f t="array" ref="E3:E4">_xlfn._xlws.FILTER((all_invoice_data!E3:E10)/1000, all_invoice_data!B3:B10=dashboard!C1, "No match")</f>
        <v>429.74008000000003</v>
      </c>
      <c r="F3" s="11" cm="1">
        <f t="array" ref="F3:F4">_xlfn._xlws.FILTER((all_invoice_data!F3:F10)/1000, all_invoice_data!B3:B10=dashboard!C1, "No match")</f>
        <v>499.03787</v>
      </c>
      <c r="G3" s="12">
        <f>SUM(D3:F3)</f>
        <v>1130.54007</v>
      </c>
    </row>
    <row r="4" spans="2:22" x14ac:dyDescent="0.35">
      <c r="B4" s="16" t="str">
        <v>SPN</v>
      </c>
      <c r="C4" s="15" t="str">
        <v>XGS</v>
      </c>
      <c r="D4" s="11">
        <v>171.49780200000001</v>
      </c>
      <c r="E4" s="13">
        <v>365.27906800000005</v>
      </c>
      <c r="F4" s="12">
        <v>499.03787</v>
      </c>
      <c r="G4" s="12">
        <f>SUM(D4:F4)</f>
        <v>1035.81474</v>
      </c>
    </row>
    <row r="5" spans="2:22" x14ac:dyDescent="0.35">
      <c r="B5" s="25"/>
      <c r="C5" s="26"/>
      <c r="D5" s="27"/>
      <c r="E5" s="28"/>
      <c r="F5" s="27"/>
      <c r="G5" s="29"/>
    </row>
    <row r="6" spans="2:22" ht="22.5" x14ac:dyDescent="0.45">
      <c r="B6" s="22" t="s">
        <v>50</v>
      </c>
      <c r="C6" s="23"/>
      <c r="D6" s="23"/>
      <c r="E6" s="23"/>
      <c r="F6" s="23"/>
      <c r="G6" s="22" t="s">
        <v>52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2:22" s="9" customFormat="1" x14ac:dyDescent="0.35">
      <c r="B7" s="6"/>
      <c r="C7" s="6"/>
      <c r="D7" s="6"/>
      <c r="E7" s="6"/>
      <c r="F7" s="6"/>
      <c r="G7" s="17"/>
      <c r="H7" s="18" t="s">
        <v>39</v>
      </c>
      <c r="I7" s="18" t="s">
        <v>37</v>
      </c>
      <c r="J7" s="18"/>
      <c r="K7" s="18"/>
      <c r="L7" s="18" t="s">
        <v>57</v>
      </c>
      <c r="M7" s="18" t="s">
        <v>37</v>
      </c>
      <c r="N7" s="18"/>
      <c r="O7" s="18"/>
      <c r="P7" s="18" t="s">
        <v>58</v>
      </c>
      <c r="Q7" s="18" t="s">
        <v>59</v>
      </c>
      <c r="R7" s="17"/>
    </row>
    <row r="8" spans="2:22" s="9" customFormat="1" ht="36" x14ac:dyDescent="0.25">
      <c r="F8" s="47"/>
      <c r="G8" s="48" t="s">
        <v>62</v>
      </c>
      <c r="H8" s="49" t="s">
        <v>75</v>
      </c>
      <c r="I8" s="50" t="s">
        <v>77</v>
      </c>
      <c r="J8" s="49" t="s">
        <v>76</v>
      </c>
      <c r="K8" s="49"/>
      <c r="L8" s="49" t="s">
        <v>75</v>
      </c>
      <c r="M8" s="50" t="s">
        <v>77</v>
      </c>
      <c r="N8" s="49" t="s">
        <v>76</v>
      </c>
      <c r="O8" s="49"/>
      <c r="P8" s="49" t="s">
        <v>75</v>
      </c>
      <c r="Q8" s="50" t="s">
        <v>77</v>
      </c>
      <c r="R8" s="49" t="s">
        <v>76</v>
      </c>
    </row>
    <row r="9" spans="2:22" x14ac:dyDescent="0.35">
      <c r="F9" s="30"/>
      <c r="G9" s="31" t="str" cm="1">
        <f t="array" ref="G9:G12">_xlfn._xlws.FILTER(
  stats!$E:$E,
  (stats!$B:$B = dashboard!$C$1) * (stats!$C:$C = dashboard!H7),
  "No match"
)</f>
        <v>all_states_historical_market</v>
      </c>
      <c r="H9" s="45" cm="1">
        <f t="array" ref="H9:J12">_xlfn._xlws.FILTER(
  stats!$F:$H,
  (stats!$B:$B = dashboard!$C$1) * (stats!$C:$C = dashboard!H7),
  "No match"
)</f>
        <v>0.85484795918367307</v>
      </c>
      <c r="I9" s="45">
        <v>1.886768723156703</v>
      </c>
      <c r="J9" s="45">
        <v>0.79959554604148741</v>
      </c>
      <c r="K9" s="45"/>
      <c r="L9" s="45" cm="1">
        <f t="array" ref="L9:N12">_xlfn._xlws.FILTER(
  stats!$F:$H,
  (stats!$B:$B = dashboard!$C$1) * (stats!$C:$C = dashboard!L7),
  "No match"
)</f>
        <v>0.78955102040816305</v>
      </c>
      <c r="M9" s="45">
        <v>2.2134197324414702</v>
      </c>
      <c r="N9" s="45">
        <v>0.61173383386744329</v>
      </c>
      <c r="O9" s="45"/>
      <c r="P9" s="45" cm="1">
        <f t="array" ref="P9:R12">_xlfn._xlws.FILTER(
  stats!$F:$H,
  (stats!$B:$B = dashboard!$C$1) * (stats!$C:$C = dashboard!P7),
  "No match"
)</f>
        <v>0.163261053042349</v>
      </c>
      <c r="Q9" s="45">
        <v>0.35453892430636602</v>
      </c>
      <c r="R9" s="45">
        <v>7.538257026500414E-2</v>
      </c>
      <c r="U9" s="42"/>
      <c r="V9" s="42"/>
    </row>
    <row r="10" spans="2:22" x14ac:dyDescent="0.35">
      <c r="F10" s="30"/>
      <c r="G10" s="30" t="str">
        <v>georgia_historical_market</v>
      </c>
      <c r="H10" s="45">
        <v>0.77</v>
      </c>
      <c r="I10" s="45">
        <v>0.87835294117647</v>
      </c>
      <c r="J10" s="45">
        <v>0.30148817297183711</v>
      </c>
      <c r="K10" s="42"/>
      <c r="L10" s="42">
        <v>0.78001916762015444</v>
      </c>
      <c r="M10" s="42">
        <v>1.7796415133779251</v>
      </c>
      <c r="N10" s="42">
        <v>0.51029371995574757</v>
      </c>
      <c r="O10" s="42"/>
      <c r="P10" s="42">
        <v>0.14980529586142149</v>
      </c>
      <c r="Q10" s="42">
        <v>0.31460460613799601</v>
      </c>
      <c r="R10" s="42">
        <v>5.0975076288559122E-2</v>
      </c>
      <c r="U10" s="42"/>
      <c r="V10" s="42"/>
    </row>
    <row r="11" spans="2:22" x14ac:dyDescent="0.35">
      <c r="F11" s="30"/>
      <c r="G11" s="30" t="str">
        <v>georgia_historical_xgs</v>
      </c>
      <c r="H11" s="45">
        <v>0.35570000000000002</v>
      </c>
      <c r="I11" s="45">
        <v>0.4919</v>
      </c>
      <c r="J11" s="45">
        <v>0.18009001502754221</v>
      </c>
      <c r="K11" s="42"/>
      <c r="L11" s="42">
        <v>0.60475744082493499</v>
      </c>
      <c r="M11" s="42">
        <v>1.5374278357567219</v>
      </c>
      <c r="N11" s="42">
        <v>0.42185589974543519</v>
      </c>
      <c r="O11" s="42"/>
      <c r="P11" s="42">
        <v>0.12943192481990901</v>
      </c>
      <c r="Q11" s="42">
        <v>0.41048673448726769</v>
      </c>
      <c r="R11" s="42">
        <v>4.7113200942790798E-2</v>
      </c>
      <c r="U11" s="42"/>
      <c r="V11" s="42"/>
    </row>
    <row r="12" spans="2:22" x14ac:dyDescent="0.35">
      <c r="F12" s="30"/>
      <c r="G12" s="32" t="str">
        <v>recommended rate</v>
      </c>
      <c r="H12" s="45">
        <v>0.90613883673469353</v>
      </c>
      <c r="I12" s="45">
        <v>1.9999748465461049</v>
      </c>
      <c r="J12" s="45">
        <v>0.84757127880397676</v>
      </c>
      <c r="K12" s="54"/>
      <c r="L12" s="42">
        <v>0.83692408163265286</v>
      </c>
      <c r="M12" s="42">
        <v>2.3462249163879592</v>
      </c>
      <c r="N12" s="42">
        <v>0.64843786389948987</v>
      </c>
      <c r="O12" s="54"/>
      <c r="P12" s="42">
        <v>0.1971078113661488</v>
      </c>
      <c r="Q12" s="42">
        <v>0.49353972584001887</v>
      </c>
      <c r="R12" s="42">
        <v>7.9905524480904391E-2</v>
      </c>
      <c r="U12" s="42"/>
      <c r="V12" s="42"/>
    </row>
    <row r="13" spans="2:22" x14ac:dyDescent="0.35">
      <c r="F13" s="30"/>
      <c r="G13" s="30" t="s">
        <v>74</v>
      </c>
      <c r="H13" s="52"/>
      <c r="I13" s="52"/>
      <c r="J13" s="52"/>
      <c r="K13" s="53"/>
      <c r="L13" s="52"/>
      <c r="M13" s="52"/>
      <c r="N13" s="52"/>
      <c r="O13" s="53"/>
      <c r="P13" s="52"/>
      <c r="Q13" s="52"/>
      <c r="R13" s="52"/>
    </row>
    <row r="14" spans="2:22" x14ac:dyDescent="0.35">
      <c r="F14" s="30"/>
      <c r="G14" s="30"/>
      <c r="H14" s="44"/>
      <c r="I14" s="44"/>
      <c r="J14" s="44"/>
      <c r="L14" s="44"/>
      <c r="M14" s="44"/>
      <c r="N14" s="44"/>
      <c r="P14" s="44"/>
      <c r="Q14" s="44"/>
      <c r="R14" s="44"/>
    </row>
    <row r="15" spans="2:22" ht="19.5" x14ac:dyDescent="0.4">
      <c r="F15" s="30"/>
      <c r="G15" s="33" t="s">
        <v>53</v>
      </c>
    </row>
    <row r="16" spans="2:22" x14ac:dyDescent="0.35">
      <c r="F16" s="30"/>
      <c r="G16" s="19" t="s">
        <v>39</v>
      </c>
      <c r="H16" s="20" t="s">
        <v>19</v>
      </c>
      <c r="I16" s="20" t="s">
        <v>20</v>
      </c>
      <c r="J16" s="20" t="s">
        <v>21</v>
      </c>
      <c r="K16" s="20" t="s">
        <v>22</v>
      </c>
      <c r="L16" s="20" t="s">
        <v>23</v>
      </c>
      <c r="M16" s="20" t="s">
        <v>24</v>
      </c>
      <c r="N16" s="20" t="s">
        <v>25</v>
      </c>
      <c r="O16" s="20" t="s">
        <v>26</v>
      </c>
      <c r="P16" s="20" t="s">
        <v>27</v>
      </c>
      <c r="Q16" s="20" t="s">
        <v>28</v>
      </c>
      <c r="R16" s="20"/>
    </row>
    <row r="17" spans="6:18" x14ac:dyDescent="0.35">
      <c r="F17" s="30"/>
      <c r="G17" s="30" t="str" cm="1">
        <f t="array" ref="G17:G21">_xlfn._xlws.FILTER(rates_table_data!P:P,
(rates_table_data!B:B=dashboard!C1)*(rates_table_data!E:E=dashboard!G16)*((rates_table_data!R:R=dashboard!G15)+(rates_table_data!R:R="baseline")),
"No match"
)</f>
        <v>vendor</v>
      </c>
      <c r="H17" s="45" cm="1">
        <f t="array" ref="H17:Q21">_xlfn._xlws.FILTER(rates_table_data!F:O,
(rates_table_data!B:B=dashboard!C1)*(rates_table_data!E:E=dashboard!G16)*((rates_table_data!R:R=dashboard!G15)+(rates_table_data!R:R="baseline")),
"No match"
)</f>
        <v>0.35569386792452801</v>
      </c>
      <c r="I17" s="45">
        <v>0.34636273584905602</v>
      </c>
      <c r="J17" s="45">
        <v>0.332366037735849</v>
      </c>
      <c r="K17" s="45">
        <v>0.32303490566037701</v>
      </c>
      <c r="L17" s="45">
        <v>0.313592688679245</v>
      </c>
      <c r="M17" s="45">
        <v>0.313592688679245</v>
      </c>
      <c r="N17" s="45">
        <v>0.313592688679245</v>
      </c>
      <c r="O17" s="45">
        <v>0.313592688679245</v>
      </c>
      <c r="P17" s="45">
        <v>0.313592688679245</v>
      </c>
      <c r="Q17" s="45">
        <v>0.313592688679245</v>
      </c>
    </row>
    <row r="18" spans="6:18" x14ac:dyDescent="0.35">
      <c r="F18" s="30"/>
      <c r="G18" s="30" t="str">
        <v>georgia_historical_market_wavg</v>
      </c>
      <c r="H18" s="45">
        <v>0.69536881104748904</v>
      </c>
      <c r="I18" s="45">
        <v>0</v>
      </c>
      <c r="J18" s="45">
        <v>0.77</v>
      </c>
      <c r="K18" s="45">
        <v>0.77006552716430299</v>
      </c>
      <c r="L18" s="45">
        <v>0</v>
      </c>
      <c r="M18" s="45">
        <v>9.2137021407163899E-2</v>
      </c>
      <c r="N18" s="45">
        <v>0</v>
      </c>
      <c r="O18" s="45">
        <v>0</v>
      </c>
      <c r="P18" s="45">
        <v>0</v>
      </c>
      <c r="Q18" s="45">
        <v>0</v>
      </c>
    </row>
    <row r="19" spans="6:18" x14ac:dyDescent="0.35">
      <c r="F19" s="30"/>
      <c r="G19" s="30" t="str">
        <v>all_states_historical_market_wavg</v>
      </c>
      <c r="H19" s="45">
        <v>1.1438102704956099</v>
      </c>
      <c r="I19" s="45">
        <v>1.42381382895491</v>
      </c>
      <c r="J19" s="45">
        <v>3.1778319123020702</v>
      </c>
      <c r="K19" s="45">
        <v>0.77006552716430299</v>
      </c>
      <c r="L19" s="45">
        <v>0</v>
      </c>
      <c r="M19" s="45">
        <v>9.2137021407163899E-2</v>
      </c>
      <c r="N19" s="45">
        <v>0</v>
      </c>
      <c r="O19" s="45">
        <v>0</v>
      </c>
      <c r="P19" s="45">
        <v>0</v>
      </c>
      <c r="Q19" s="45">
        <v>0</v>
      </c>
    </row>
    <row r="20" spans="6:18" x14ac:dyDescent="0.35">
      <c r="F20" s="30"/>
      <c r="G20" s="30" t="str">
        <v>georgia_historical_xgs_wavg</v>
      </c>
      <c r="H20" s="45">
        <v>0.41671943415291202</v>
      </c>
      <c r="I20" s="45">
        <v>0</v>
      </c>
      <c r="J20" s="45">
        <v>0.332364285714285</v>
      </c>
      <c r="K20" s="45">
        <v>0.28893788771220102</v>
      </c>
      <c r="L20" s="45">
        <v>0</v>
      </c>
      <c r="M20" s="45">
        <v>9.6041873600084302E-2</v>
      </c>
      <c r="N20" s="45">
        <v>0</v>
      </c>
      <c r="O20" s="45">
        <v>0</v>
      </c>
      <c r="P20" s="45">
        <v>0</v>
      </c>
      <c r="Q20" s="45">
        <v>0</v>
      </c>
    </row>
    <row r="21" spans="6:18" x14ac:dyDescent="0.35">
      <c r="F21" s="30"/>
      <c r="G21" s="32" t="str">
        <v>recommended_wavg</v>
      </c>
      <c r="H21" s="46">
        <v>1.2124388867253399</v>
      </c>
      <c r="I21" s="46">
        <v>1.5092426586922001</v>
      </c>
      <c r="J21" s="46">
        <v>3.3685018270401899</v>
      </c>
      <c r="K21" s="46">
        <v>0.81626945879416102</v>
      </c>
      <c r="L21" s="46">
        <v>0</v>
      </c>
      <c r="M21" s="46">
        <v>0.101804386016089</v>
      </c>
      <c r="N21" s="46">
        <v>0</v>
      </c>
      <c r="O21" s="46">
        <v>0</v>
      </c>
      <c r="P21" s="46">
        <v>0</v>
      </c>
      <c r="Q21" s="46">
        <v>0</v>
      </c>
    </row>
    <row r="22" spans="6:18" x14ac:dyDescent="0.35">
      <c r="F22" s="30"/>
      <c r="G22" s="21" t="s">
        <v>57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</row>
    <row r="23" spans="6:18" x14ac:dyDescent="0.35">
      <c r="F23" s="30"/>
      <c r="G23" s="30" t="str" cm="1">
        <f t="array" ref="G23:G27">_xlfn._xlws.FILTER(rates_table_data!P:P,
(rates_table_data!B:B=dashboard!C1)*(rates_table_data!E:E=dashboard!G22)*((rates_table_data!R:R=dashboard!G15)+(rates_table_data!R:R="baseline")),
"No match"
)</f>
        <v>vendor</v>
      </c>
      <c r="H23" s="45" cm="1">
        <f t="array" ref="H23:Q27">_xlfn._xlws.FILTER(rates_table_data!F:O,
(rates_table_data!B:B=dashboard!C1)*(rates_table_data!E:E=dashboard!G22)*((rates_table_data!R:R=dashboard!G15)+(rates_table_data!R:R="baseline")),
"No match"
)</f>
        <v>0.60474622641509401</v>
      </c>
      <c r="I23" s="45">
        <v>0.58886108490566003</v>
      </c>
      <c r="J23" s="45">
        <v>0.56497783018867898</v>
      </c>
      <c r="K23" s="45">
        <v>0.54909268867924499</v>
      </c>
      <c r="L23" s="45">
        <v>0.533207547169811</v>
      </c>
      <c r="M23" s="45">
        <v>0.533207547169811</v>
      </c>
      <c r="N23" s="45">
        <v>0.533207547169811</v>
      </c>
      <c r="O23" s="45">
        <v>0.533207547169811</v>
      </c>
      <c r="P23" s="45">
        <v>0.533207547169811</v>
      </c>
      <c r="Q23" s="45">
        <v>0.533207547169811</v>
      </c>
    </row>
    <row r="24" spans="6:18" x14ac:dyDescent="0.35">
      <c r="F24" s="30"/>
      <c r="G24" s="30" t="str">
        <v>georgia_historical_market_wavg</v>
      </c>
      <c r="H24" s="45">
        <v>0.89346051440797103</v>
      </c>
      <c r="I24" s="45">
        <v>0.61575378894963495</v>
      </c>
      <c r="J24" s="45">
        <v>0.58494728561269804</v>
      </c>
      <c r="K24" s="45">
        <v>0.39987047441585599</v>
      </c>
      <c r="L24" s="45">
        <v>0.23284194909040601</v>
      </c>
      <c r="M24" s="45">
        <v>0.15488032457050399</v>
      </c>
      <c r="N24" s="45">
        <v>0.115651541937404</v>
      </c>
      <c r="O24" s="45">
        <v>0</v>
      </c>
      <c r="P24" s="45">
        <v>0</v>
      </c>
      <c r="Q24" s="45">
        <v>0</v>
      </c>
    </row>
    <row r="25" spans="6:18" x14ac:dyDescent="0.35">
      <c r="F25" s="30"/>
      <c r="G25" s="30" t="str">
        <v>all_states_historical_market_wavg</v>
      </c>
      <c r="H25" s="45">
        <v>1.0254956921162299</v>
      </c>
      <c r="I25" s="45">
        <v>0.60920965318961795</v>
      </c>
      <c r="J25" s="45">
        <v>0.948943102495441</v>
      </c>
      <c r="K25" s="45">
        <v>0.40168433292692901</v>
      </c>
      <c r="L25" s="45">
        <v>0.228869676690753</v>
      </c>
      <c r="M25" s="45">
        <v>0.15488032457050399</v>
      </c>
      <c r="N25" s="45">
        <v>0.115651541937404</v>
      </c>
      <c r="O25" s="45">
        <v>0</v>
      </c>
      <c r="P25" s="45">
        <v>0</v>
      </c>
      <c r="Q25" s="45">
        <v>0</v>
      </c>
    </row>
    <row r="26" spans="6:18" x14ac:dyDescent="0.35">
      <c r="F26" s="30"/>
      <c r="G26" s="30" t="str">
        <v>georgia_historical_xgs_wavg</v>
      </c>
      <c r="H26" s="45">
        <v>0.71941818166355798</v>
      </c>
      <c r="I26" s="45">
        <v>0.58886099118826496</v>
      </c>
      <c r="J26" s="45">
        <v>0.44853466143458098</v>
      </c>
      <c r="K26" s="45">
        <v>0.28406445017922199</v>
      </c>
      <c r="L26" s="45">
        <v>0.17252680636481299</v>
      </c>
      <c r="M26" s="45">
        <v>0.118647888070907</v>
      </c>
      <c r="N26" s="45">
        <v>0.114969673484796</v>
      </c>
      <c r="O26" s="45">
        <v>0</v>
      </c>
      <c r="P26" s="45">
        <v>0</v>
      </c>
      <c r="Q26" s="45">
        <v>0</v>
      </c>
    </row>
    <row r="27" spans="6:18" x14ac:dyDescent="0.35">
      <c r="F27" s="30"/>
      <c r="G27" s="32" t="str">
        <v>recommended_wavg</v>
      </c>
      <c r="H27" s="46">
        <v>1.0870254336431999</v>
      </c>
      <c r="I27" s="46">
        <v>0.65269901628661298</v>
      </c>
      <c r="J27" s="46">
        <v>1.00587968864516</v>
      </c>
      <c r="K27" s="46">
        <v>0.42578539290254502</v>
      </c>
      <c r="L27" s="46">
        <v>0.24681246603583101</v>
      </c>
      <c r="M27" s="46">
        <v>0.16417314404473399</v>
      </c>
      <c r="N27" s="46">
        <v>0.122590634453648</v>
      </c>
      <c r="O27" s="46">
        <v>0</v>
      </c>
      <c r="P27" s="46">
        <v>0</v>
      </c>
      <c r="Q27" s="46">
        <v>0</v>
      </c>
    </row>
    <row r="28" spans="6:18" x14ac:dyDescent="0.35">
      <c r="F28" s="30"/>
      <c r="G28" s="21" t="s">
        <v>58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</row>
    <row r="29" spans="6:18" x14ac:dyDescent="0.35">
      <c r="F29" s="30"/>
      <c r="G29" s="30" t="str" cm="1">
        <f t="array" ref="G29:G33">_xlfn._xlws.FILTER(rates_table_data!P:P,
(rates_table_data!B:B=dashboard!C1)*(rates_table_data!E:E=dashboard!G28)*((rates_table_data!R:R=dashboard!G15)+(rates_table_data!R:R="baseline")),
"No match"
)</f>
        <v>vendor</v>
      </c>
      <c r="H29" s="45" cm="1">
        <f t="array" ref="H29:Q33">_xlfn._xlws.FILTER(rates_table_data!F:O,
(rates_table_data!B:B=dashboard!C1)*(rates_table_data!E:E=dashboard!G28)*((rates_table_data!R:R=dashboard!G15)+(rates_table_data!R:R="baseline")),
"No match"
)</f>
        <v>0.16316150943396199</v>
      </c>
      <c r="I29" s="45">
        <v>0.148631603773584</v>
      </c>
      <c r="J29" s="45">
        <v>0.110507264150943</v>
      </c>
      <c r="K29" s="45">
        <v>8.3446981132075396E-2</v>
      </c>
      <c r="L29" s="45">
        <v>8.3446981132075396E-2</v>
      </c>
      <c r="M29" s="45">
        <v>6.6251037735849005E-2</v>
      </c>
      <c r="N29" s="45">
        <v>5.6120094339622603E-2</v>
      </c>
      <c r="O29" s="45">
        <v>5.6120094339622603E-2</v>
      </c>
      <c r="P29" s="45">
        <v>5.6120094339622603E-2</v>
      </c>
      <c r="Q29" s="45">
        <v>5.6120094339622603E-2</v>
      </c>
    </row>
    <row r="30" spans="6:18" x14ac:dyDescent="0.35">
      <c r="F30" s="30"/>
      <c r="G30" s="30" t="str">
        <v>georgia_historical_market_wavg</v>
      </c>
      <c r="H30" s="45">
        <v>0.48031911023270801</v>
      </c>
      <c r="I30" s="45">
        <v>0.20337994852616501</v>
      </c>
      <c r="J30" s="45">
        <v>0.12780867993200901</v>
      </c>
      <c r="K30" s="45">
        <v>7.5150259484249804E-2</v>
      </c>
      <c r="L30" s="45">
        <v>0.10077249793335399</v>
      </c>
      <c r="M30" s="45">
        <v>6.67193765424898E-2</v>
      </c>
      <c r="N30" s="45">
        <v>4.5307985801347497E-2</v>
      </c>
      <c r="O30" s="45">
        <v>4.2934841056181602E-2</v>
      </c>
      <c r="P30" s="45">
        <v>3.3084366325931001E-2</v>
      </c>
      <c r="Q30" s="45">
        <v>1.8944608287461299E-2</v>
      </c>
    </row>
    <row r="31" spans="6:18" x14ac:dyDescent="0.35">
      <c r="F31" s="30"/>
      <c r="G31" s="30" t="str">
        <v>all_states_historical_market_wavg</v>
      </c>
      <c r="H31" s="45">
        <v>0.44183633142600398</v>
      </c>
      <c r="I31" s="45">
        <v>0.18236329335061299</v>
      </c>
      <c r="J31" s="45">
        <v>0.12095326434338401</v>
      </c>
      <c r="K31" s="45">
        <v>0.11252519541278901</v>
      </c>
      <c r="L31" s="45">
        <v>0.146635481929037</v>
      </c>
      <c r="M31" s="45">
        <v>6.6683378603466403E-2</v>
      </c>
      <c r="N31" s="45">
        <v>5.3204191292080899E-2</v>
      </c>
      <c r="O31" s="45">
        <v>3.6583972766628003E-2</v>
      </c>
      <c r="P31" s="45">
        <v>9.5653810153533095E-2</v>
      </c>
      <c r="Q31" s="45">
        <v>5.34535254289994E-2</v>
      </c>
    </row>
    <row r="32" spans="6:18" x14ac:dyDescent="0.35">
      <c r="F32" s="30"/>
      <c r="G32" s="30" t="str">
        <v>georgia_historical_xgs_wavg</v>
      </c>
      <c r="H32" s="45">
        <v>0.55503239797235004</v>
      </c>
      <c r="I32" s="45">
        <v>0.16294516953881699</v>
      </c>
      <c r="J32" s="45">
        <v>0.100727415556504</v>
      </c>
      <c r="K32" s="45">
        <v>7.5101983344731796E-2</v>
      </c>
      <c r="L32" s="45">
        <v>7.51024088718623E-2</v>
      </c>
      <c r="M32" s="45">
        <v>5.9625874701025601E-2</v>
      </c>
      <c r="N32" s="45">
        <v>4.73868460465788E-2</v>
      </c>
      <c r="O32" s="45">
        <v>3.2911430995823297E-2</v>
      </c>
      <c r="P32" s="45">
        <v>2.38374351376936E-2</v>
      </c>
      <c r="Q32" s="45">
        <v>2.5319484303545099E-2</v>
      </c>
      <c r="R32" s="44"/>
    </row>
    <row r="33" spans="6:18" x14ac:dyDescent="0.35">
      <c r="F33" s="30"/>
      <c r="G33" s="32" t="str">
        <v>recommended_wavg</v>
      </c>
      <c r="H33" s="46">
        <v>0.588334341850691</v>
      </c>
      <c r="I33" s="46">
        <v>0.21558274543773501</v>
      </c>
      <c r="J33" s="46">
        <v>0.13547720072792899</v>
      </c>
      <c r="K33" s="46">
        <v>0.119276707137556</v>
      </c>
      <c r="L33" s="46">
        <v>0.15543361084478</v>
      </c>
      <c r="M33" s="46">
        <v>7.0722539135039203E-2</v>
      </c>
      <c r="N33" s="46">
        <v>5.6396442769605801E-2</v>
      </c>
      <c r="O33" s="46">
        <v>4.5510931519552503E-2</v>
      </c>
      <c r="P33" s="46">
        <v>0.101393038762745</v>
      </c>
      <c r="Q33" s="46">
        <v>5.6660736954739298E-2</v>
      </c>
      <c r="R33" s="51"/>
    </row>
  </sheetData>
  <conditionalFormatting sqref="H13:J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:N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3:R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62CD-B98D-4735-831E-7FC181BDE245}">
  <sheetPr>
    <tabColor rgb="FF00B050"/>
  </sheetPr>
  <dimension ref="B2:F10"/>
  <sheetViews>
    <sheetView showGridLines="0" workbookViewId="0">
      <selection activeCell="C11" sqref="C11"/>
    </sheetView>
  </sheetViews>
  <sheetFormatPr defaultRowHeight="15" x14ac:dyDescent="0.25"/>
  <cols>
    <col min="2" max="2" width="8.85546875" style="4" bestFit="1" customWidth="1"/>
    <col min="3" max="3" width="10.85546875" customWidth="1"/>
    <col min="4" max="4" width="23.28515625" customWidth="1"/>
    <col min="5" max="5" width="27" customWidth="1"/>
    <col min="6" max="6" width="12.7109375" customWidth="1"/>
  </cols>
  <sheetData>
    <row r="2" spans="2:6" x14ac:dyDescent="0.25">
      <c r="B2" s="5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4" t="s">
        <v>5</v>
      </c>
      <c r="C3" t="s">
        <v>72</v>
      </c>
      <c r="D3" s="3">
        <v>141510.73000000001</v>
      </c>
      <c r="E3" s="3">
        <v>71144.73</v>
      </c>
      <c r="F3" s="3">
        <v>108233.36</v>
      </c>
    </row>
    <row r="4" spans="2:6" x14ac:dyDescent="0.25">
      <c r="B4" s="4" t="s">
        <v>5</v>
      </c>
      <c r="C4" t="s">
        <v>73</v>
      </c>
      <c r="D4" s="3">
        <v>131604.97889999999</v>
      </c>
      <c r="E4" s="3">
        <v>66164.598899999997</v>
      </c>
      <c r="F4" s="3">
        <v>108233.36</v>
      </c>
    </row>
    <row r="5" spans="2:6" x14ac:dyDescent="0.25">
      <c r="B5" s="4" t="s">
        <v>6</v>
      </c>
      <c r="C5" t="s">
        <v>72</v>
      </c>
      <c r="D5" s="3">
        <v>201762.12</v>
      </c>
      <c r="E5" s="3">
        <v>429740.08</v>
      </c>
      <c r="F5" s="3">
        <v>499037.87</v>
      </c>
    </row>
    <row r="6" spans="2:6" x14ac:dyDescent="0.25">
      <c r="B6" s="4" t="s">
        <v>6</v>
      </c>
      <c r="C6" t="s">
        <v>73</v>
      </c>
      <c r="D6" s="3">
        <v>171497.802</v>
      </c>
      <c r="E6" s="3">
        <v>365279.06800000003</v>
      </c>
      <c r="F6" s="3">
        <v>499037.87</v>
      </c>
    </row>
    <row r="7" spans="2:6" x14ac:dyDescent="0.25">
      <c r="B7" s="4" t="s">
        <v>7</v>
      </c>
      <c r="C7" t="s">
        <v>72</v>
      </c>
      <c r="D7" s="3">
        <v>360791.68</v>
      </c>
      <c r="E7" s="3">
        <v>297382.28000000003</v>
      </c>
      <c r="F7" s="3">
        <v>276796.95</v>
      </c>
    </row>
    <row r="8" spans="2:6" x14ac:dyDescent="0.25">
      <c r="B8" s="4" t="s">
        <v>7</v>
      </c>
      <c r="C8" t="s">
        <v>73</v>
      </c>
      <c r="D8" s="3">
        <v>324712.51199999999</v>
      </c>
      <c r="E8" s="3">
        <v>267644.05200000003</v>
      </c>
      <c r="F8" s="3">
        <v>276796.95</v>
      </c>
    </row>
    <row r="9" spans="2:6" x14ac:dyDescent="0.25">
      <c r="B9" s="4" t="s">
        <v>8</v>
      </c>
      <c r="C9" t="s">
        <v>72</v>
      </c>
      <c r="D9" s="3">
        <v>443965.1</v>
      </c>
      <c r="E9" s="3">
        <v>303608.51</v>
      </c>
      <c r="F9" s="3">
        <v>397920.22</v>
      </c>
    </row>
    <row r="10" spans="2:6" x14ac:dyDescent="0.25">
      <c r="B10" s="4" t="s">
        <v>8</v>
      </c>
      <c r="C10" t="s">
        <v>73</v>
      </c>
      <c r="D10" s="3">
        <v>337413.47600000002</v>
      </c>
      <c r="E10" s="3">
        <v>230742.4676</v>
      </c>
      <c r="F10" s="3">
        <v>397920.22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76C3-A380-4704-A6B8-94828DD8CE8A}">
  <sheetPr>
    <tabColor rgb="FF00B050"/>
  </sheetPr>
  <dimension ref="B2:H50"/>
  <sheetViews>
    <sheetView showGridLines="0" workbookViewId="0">
      <selection activeCell="K9" sqref="K9"/>
    </sheetView>
  </sheetViews>
  <sheetFormatPr defaultRowHeight="15" x14ac:dyDescent="0.25"/>
  <cols>
    <col min="2" max="2" width="11.42578125" customWidth="1"/>
    <col min="3" max="3" width="11.28515625" bestFit="1" customWidth="1"/>
    <col min="4" max="4" width="5.7109375" bestFit="1" customWidth="1"/>
    <col min="5" max="5" width="27.28515625" bestFit="1" customWidth="1"/>
    <col min="6" max="6" width="21.5703125" bestFit="1" customWidth="1"/>
    <col min="7" max="7" width="25.28515625" bestFit="1" customWidth="1"/>
    <col min="8" max="8" width="10.5703125" bestFit="1" customWidth="1"/>
  </cols>
  <sheetData>
    <row r="2" spans="2:8" x14ac:dyDescent="0.25">
      <c r="B2" s="34" t="s">
        <v>0</v>
      </c>
      <c r="C2" s="38" t="s">
        <v>55</v>
      </c>
      <c r="D2" s="38" t="s">
        <v>56</v>
      </c>
      <c r="E2" s="35" t="s">
        <v>1</v>
      </c>
      <c r="F2" s="35" t="s">
        <v>51</v>
      </c>
      <c r="G2" s="35" t="s">
        <v>54</v>
      </c>
      <c r="H2" s="36" t="s">
        <v>53</v>
      </c>
    </row>
    <row r="3" spans="2:8" ht="18" x14ac:dyDescent="0.35">
      <c r="B3" s="37" t="s">
        <v>5</v>
      </c>
      <c r="C3" s="4" t="s">
        <v>39</v>
      </c>
      <c r="D3" s="4" t="s">
        <v>37</v>
      </c>
      <c r="E3" s="31" t="s">
        <v>17</v>
      </c>
      <c r="F3" s="39">
        <v>0.72375</v>
      </c>
      <c r="G3" s="39">
        <v>1.33638128292069</v>
      </c>
      <c r="H3" s="40">
        <v>0.69825606401194429</v>
      </c>
    </row>
    <row r="4" spans="2:8" ht="18" x14ac:dyDescent="0.35">
      <c r="B4" s="37" t="s">
        <v>5</v>
      </c>
      <c r="C4" s="4" t="s">
        <v>39</v>
      </c>
      <c r="D4" s="4" t="s">
        <v>37</v>
      </c>
      <c r="E4" s="30" t="s">
        <v>16</v>
      </c>
      <c r="F4" s="41">
        <v>1.1105481782191451</v>
      </c>
      <c r="G4" s="41">
        <v>2.1424534363107219</v>
      </c>
      <c r="H4" s="41">
        <v>1.0316717791411021</v>
      </c>
    </row>
    <row r="5" spans="2:8" ht="18" x14ac:dyDescent="0.35">
      <c r="B5" s="37" t="s">
        <v>5</v>
      </c>
      <c r="C5" s="4" t="s">
        <v>39</v>
      </c>
      <c r="D5" s="4" t="s">
        <v>37</v>
      </c>
      <c r="E5" s="32" t="s">
        <v>18</v>
      </c>
      <c r="F5" s="41">
        <v>0.7000634920634915</v>
      </c>
      <c r="G5" s="41">
        <v>1.2318990000746179</v>
      </c>
      <c r="H5" s="41">
        <v>0.5321344580777092</v>
      </c>
    </row>
    <row r="6" spans="2:8" ht="18" x14ac:dyDescent="0.35">
      <c r="B6" s="37" t="s">
        <v>5</v>
      </c>
      <c r="C6" s="4" t="s">
        <v>39</v>
      </c>
      <c r="D6" s="4" t="s">
        <v>37</v>
      </c>
      <c r="E6" s="31" t="s">
        <v>63</v>
      </c>
      <c r="F6" s="39">
        <v>1.1771810689122939</v>
      </c>
      <c r="G6" s="39">
        <v>2.2710006424893661</v>
      </c>
      <c r="H6" s="40">
        <v>1.0935720858895679</v>
      </c>
    </row>
    <row r="7" spans="2:8" ht="18" x14ac:dyDescent="0.35">
      <c r="B7" s="37" t="s">
        <v>5</v>
      </c>
      <c r="C7" s="4" t="s">
        <v>57</v>
      </c>
      <c r="D7" s="4" t="s">
        <v>37</v>
      </c>
      <c r="E7" s="30" t="s">
        <v>17</v>
      </c>
      <c r="F7" s="41">
        <v>1.3705397501308449</v>
      </c>
      <c r="G7" s="41">
        <v>2.6805625000000002</v>
      </c>
      <c r="H7" s="41">
        <v>1.1496483105052571</v>
      </c>
    </row>
    <row r="8" spans="2:8" ht="18" x14ac:dyDescent="0.35">
      <c r="B8" s="37" t="s">
        <v>5</v>
      </c>
      <c r="C8" s="4" t="s">
        <v>57</v>
      </c>
      <c r="D8" s="4" t="s">
        <v>37</v>
      </c>
      <c r="E8" s="32" t="s">
        <v>16</v>
      </c>
      <c r="F8" s="41">
        <v>1.36568781040341</v>
      </c>
      <c r="G8" s="41">
        <v>2.412391304347822</v>
      </c>
      <c r="H8" s="41">
        <v>1.1493258781956079</v>
      </c>
    </row>
    <row r="9" spans="2:8" ht="18" x14ac:dyDescent="0.35">
      <c r="B9" s="37" t="s">
        <v>5</v>
      </c>
      <c r="C9" s="4" t="s">
        <v>57</v>
      </c>
      <c r="D9" s="4" t="s">
        <v>37</v>
      </c>
      <c r="E9" s="31" t="s">
        <v>18</v>
      </c>
      <c r="F9" s="39">
        <v>0.82447531454053147</v>
      </c>
      <c r="G9" s="39">
        <v>1.139937207357858</v>
      </c>
      <c r="H9" s="40">
        <v>0.76265565863328977</v>
      </c>
    </row>
    <row r="10" spans="2:8" ht="18" x14ac:dyDescent="0.35">
      <c r="B10" s="37" t="s">
        <v>5</v>
      </c>
      <c r="C10" s="4" t="s">
        <v>57</v>
      </c>
      <c r="D10" s="4" t="s">
        <v>37</v>
      </c>
      <c r="E10" s="30" t="s">
        <v>63</v>
      </c>
      <c r="F10" s="41">
        <v>1.452772135138696</v>
      </c>
      <c r="G10" s="41">
        <v>2.8413962499999998</v>
      </c>
      <c r="H10" s="41">
        <v>1.2186272091355721</v>
      </c>
    </row>
    <row r="11" spans="2:8" ht="18" x14ac:dyDescent="0.35">
      <c r="B11" s="37" t="s">
        <v>5</v>
      </c>
      <c r="C11" s="4" t="s">
        <v>58</v>
      </c>
      <c r="D11" s="4" t="s">
        <v>59</v>
      </c>
      <c r="E11" s="30" t="s">
        <v>17</v>
      </c>
      <c r="F11" s="41">
        <v>0.15588401222647699</v>
      </c>
      <c r="G11" s="41">
        <v>0.60285927542056605</v>
      </c>
      <c r="H11" s="41">
        <v>9.7703148710803447E-2</v>
      </c>
    </row>
    <row r="12" spans="2:8" x14ac:dyDescent="0.25">
      <c r="B12" t="s">
        <v>5</v>
      </c>
      <c r="C12" t="s">
        <v>58</v>
      </c>
      <c r="D12" t="s">
        <v>59</v>
      </c>
      <c r="E12" t="s">
        <v>16</v>
      </c>
      <c r="F12">
        <v>0.14447562453651799</v>
      </c>
      <c r="G12">
        <v>0.29825821511941097</v>
      </c>
      <c r="H12">
        <v>8.7165938556184014E-2</v>
      </c>
    </row>
    <row r="13" spans="2:8" x14ac:dyDescent="0.25">
      <c r="B13" t="s">
        <v>5</v>
      </c>
      <c r="C13" t="s">
        <v>58</v>
      </c>
      <c r="D13" t="s">
        <v>59</v>
      </c>
      <c r="E13" t="s">
        <v>18</v>
      </c>
      <c r="F13">
        <v>0.161562341611758</v>
      </c>
      <c r="G13">
        <v>0.31980546704678797</v>
      </c>
      <c r="H13">
        <v>0.1002892466722651</v>
      </c>
    </row>
    <row r="14" spans="2:8" x14ac:dyDescent="0.25">
      <c r="B14" t="s">
        <v>5</v>
      </c>
      <c r="C14" t="s">
        <v>58</v>
      </c>
      <c r="D14" t="s">
        <v>59</v>
      </c>
      <c r="E14" t="s">
        <v>63</v>
      </c>
      <c r="F14">
        <v>0.22095606255865061</v>
      </c>
      <c r="G14">
        <v>0.63903083194580002</v>
      </c>
      <c r="H14">
        <v>0.1124280808991955</v>
      </c>
    </row>
    <row r="15" spans="2:8" x14ac:dyDescent="0.25">
      <c r="B15" t="s">
        <v>6</v>
      </c>
      <c r="C15" t="s">
        <v>39</v>
      </c>
      <c r="D15" t="s">
        <v>37</v>
      </c>
      <c r="E15" t="s">
        <v>17</v>
      </c>
      <c r="F15">
        <v>0.85484795918367307</v>
      </c>
      <c r="G15">
        <v>1.886768723156703</v>
      </c>
      <c r="H15">
        <v>0.79959554604148741</v>
      </c>
    </row>
    <row r="16" spans="2:8" x14ac:dyDescent="0.25">
      <c r="B16" t="s">
        <v>6</v>
      </c>
      <c r="C16" t="s">
        <v>39</v>
      </c>
      <c r="D16" t="s">
        <v>37</v>
      </c>
      <c r="E16" t="s">
        <v>16</v>
      </c>
      <c r="F16">
        <v>0.77</v>
      </c>
      <c r="G16">
        <v>0.87835294117647</v>
      </c>
      <c r="H16">
        <v>0.30148817297183711</v>
      </c>
    </row>
    <row r="17" spans="2:8" x14ac:dyDescent="0.25">
      <c r="B17" t="s">
        <v>6</v>
      </c>
      <c r="C17" t="s">
        <v>39</v>
      </c>
      <c r="D17" t="s">
        <v>37</v>
      </c>
      <c r="E17" t="s">
        <v>18</v>
      </c>
      <c r="F17">
        <v>0.35570000000000002</v>
      </c>
      <c r="G17">
        <v>0.4919</v>
      </c>
      <c r="H17">
        <v>0.18009001502754221</v>
      </c>
    </row>
    <row r="18" spans="2:8" x14ac:dyDescent="0.25">
      <c r="B18" t="s">
        <v>6</v>
      </c>
      <c r="C18" t="s">
        <v>39</v>
      </c>
      <c r="D18" t="s">
        <v>37</v>
      </c>
      <c r="E18" t="s">
        <v>63</v>
      </c>
      <c r="F18">
        <v>0.90613883673469353</v>
      </c>
      <c r="G18">
        <v>1.9999748465461049</v>
      </c>
      <c r="H18">
        <v>0.84757127880397676</v>
      </c>
    </row>
    <row r="19" spans="2:8" x14ac:dyDescent="0.25">
      <c r="B19" t="s">
        <v>6</v>
      </c>
      <c r="C19" t="s">
        <v>57</v>
      </c>
      <c r="D19" t="s">
        <v>37</v>
      </c>
      <c r="E19" t="s">
        <v>17</v>
      </c>
      <c r="F19">
        <v>0.78955102040816305</v>
      </c>
      <c r="G19">
        <v>2.2134197324414702</v>
      </c>
      <c r="H19">
        <v>0.61173383386744329</v>
      </c>
    </row>
    <row r="20" spans="2:8" x14ac:dyDescent="0.25">
      <c r="B20" t="s">
        <v>6</v>
      </c>
      <c r="C20" t="s">
        <v>57</v>
      </c>
      <c r="D20" t="s">
        <v>37</v>
      </c>
      <c r="E20" t="s">
        <v>16</v>
      </c>
      <c r="F20">
        <v>0.78001916762015444</v>
      </c>
      <c r="G20">
        <v>1.7796415133779251</v>
      </c>
      <c r="H20">
        <v>0.51029371995574757</v>
      </c>
    </row>
    <row r="21" spans="2:8" x14ac:dyDescent="0.25">
      <c r="B21" t="s">
        <v>6</v>
      </c>
      <c r="C21" t="s">
        <v>57</v>
      </c>
      <c r="D21" t="s">
        <v>37</v>
      </c>
      <c r="E21" t="s">
        <v>18</v>
      </c>
      <c r="F21">
        <v>0.60475744082493499</v>
      </c>
      <c r="G21">
        <v>1.5374278357567219</v>
      </c>
      <c r="H21">
        <v>0.42185589974543519</v>
      </c>
    </row>
    <row r="22" spans="2:8" x14ac:dyDescent="0.25">
      <c r="B22" t="s">
        <v>6</v>
      </c>
      <c r="C22" t="s">
        <v>57</v>
      </c>
      <c r="D22" t="s">
        <v>37</v>
      </c>
      <c r="E22" t="s">
        <v>63</v>
      </c>
      <c r="F22">
        <v>0.83692408163265286</v>
      </c>
      <c r="G22">
        <v>2.3462249163879592</v>
      </c>
      <c r="H22">
        <v>0.64843786389948987</v>
      </c>
    </row>
    <row r="23" spans="2:8" x14ac:dyDescent="0.25">
      <c r="B23" t="s">
        <v>6</v>
      </c>
      <c r="C23" t="s">
        <v>58</v>
      </c>
      <c r="D23" t="s">
        <v>59</v>
      </c>
      <c r="E23" t="s">
        <v>17</v>
      </c>
      <c r="F23">
        <v>0.163261053042349</v>
      </c>
      <c r="G23">
        <v>0.35453892430636602</v>
      </c>
      <c r="H23">
        <v>7.538257026500414E-2</v>
      </c>
    </row>
    <row r="24" spans="2:8" x14ac:dyDescent="0.25">
      <c r="B24" t="s">
        <v>6</v>
      </c>
      <c r="C24" t="s">
        <v>58</v>
      </c>
      <c r="D24" t="s">
        <v>59</v>
      </c>
      <c r="E24" t="s">
        <v>16</v>
      </c>
      <c r="F24">
        <v>0.14980529586142149</v>
      </c>
      <c r="G24">
        <v>0.31460460613799601</v>
      </c>
      <c r="H24">
        <v>5.0975076288559122E-2</v>
      </c>
    </row>
    <row r="25" spans="2:8" x14ac:dyDescent="0.25">
      <c r="B25" t="s">
        <v>6</v>
      </c>
      <c r="C25" t="s">
        <v>58</v>
      </c>
      <c r="D25" t="s">
        <v>59</v>
      </c>
      <c r="E25" t="s">
        <v>18</v>
      </c>
      <c r="F25">
        <v>0.12943192481990901</v>
      </c>
      <c r="G25">
        <v>0.41048673448726769</v>
      </c>
      <c r="H25">
        <v>4.7113200942790798E-2</v>
      </c>
    </row>
    <row r="26" spans="2:8" x14ac:dyDescent="0.25">
      <c r="B26" t="s">
        <v>6</v>
      </c>
      <c r="C26" t="s">
        <v>58</v>
      </c>
      <c r="D26" t="s">
        <v>59</v>
      </c>
      <c r="E26" t="s">
        <v>63</v>
      </c>
      <c r="F26">
        <v>0.1971078113661488</v>
      </c>
      <c r="G26">
        <v>0.49353972584001887</v>
      </c>
      <c r="H26">
        <v>7.9905524480904391E-2</v>
      </c>
    </row>
    <row r="27" spans="2:8" x14ac:dyDescent="0.25">
      <c r="B27" t="s">
        <v>7</v>
      </c>
      <c r="C27" t="s">
        <v>39</v>
      </c>
      <c r="D27" t="s">
        <v>37</v>
      </c>
      <c r="E27" t="s">
        <v>17</v>
      </c>
      <c r="F27">
        <v>1.0175675675675599</v>
      </c>
      <c r="G27">
        <v>1.3451249999999999</v>
      </c>
      <c r="H27">
        <v>1.2135277118868539</v>
      </c>
    </row>
    <row r="28" spans="2:8" x14ac:dyDescent="0.25">
      <c r="B28" t="s">
        <v>7</v>
      </c>
      <c r="C28" t="s">
        <v>39</v>
      </c>
      <c r="D28" t="s">
        <v>37</v>
      </c>
      <c r="E28" t="s">
        <v>16</v>
      </c>
      <c r="F28">
        <v>1.007741666666665</v>
      </c>
      <c r="G28">
        <v>1.118136904761897</v>
      </c>
      <c r="H28">
        <v>1.0445845444021531</v>
      </c>
    </row>
    <row r="29" spans="2:8" x14ac:dyDescent="0.25">
      <c r="B29" t="s">
        <v>7</v>
      </c>
      <c r="C29" t="s">
        <v>39</v>
      </c>
      <c r="D29" t="s">
        <v>37</v>
      </c>
      <c r="E29" t="s">
        <v>18</v>
      </c>
      <c r="F29">
        <v>0.80853333333333299</v>
      </c>
      <c r="G29">
        <v>1.555105508145842</v>
      </c>
      <c r="H29">
        <v>0.71005471671399811</v>
      </c>
    </row>
    <row r="30" spans="2:8" x14ac:dyDescent="0.25">
      <c r="B30" t="s">
        <v>7</v>
      </c>
      <c r="C30" t="s">
        <v>39</v>
      </c>
      <c r="D30" t="s">
        <v>37</v>
      </c>
      <c r="E30" t="s">
        <v>63</v>
      </c>
      <c r="F30">
        <v>1.078621621621614</v>
      </c>
      <c r="G30">
        <v>1.662229118179458</v>
      </c>
      <c r="H30">
        <v>1.286339374600066</v>
      </c>
    </row>
    <row r="31" spans="2:8" x14ac:dyDescent="0.25">
      <c r="B31" t="s">
        <v>7</v>
      </c>
      <c r="C31" t="s">
        <v>57</v>
      </c>
      <c r="D31" t="s">
        <v>37</v>
      </c>
      <c r="E31" t="s">
        <v>17</v>
      </c>
      <c r="F31">
        <v>1.39061504549716</v>
      </c>
      <c r="G31">
        <v>2.1764839817940351</v>
      </c>
      <c r="H31">
        <v>1.3173849060918259</v>
      </c>
    </row>
    <row r="32" spans="2:8" x14ac:dyDescent="0.25">
      <c r="B32" t="s">
        <v>7</v>
      </c>
      <c r="C32" t="s">
        <v>57</v>
      </c>
      <c r="D32" t="s">
        <v>37</v>
      </c>
      <c r="E32" t="s">
        <v>16</v>
      </c>
      <c r="F32">
        <v>1.38398829431438</v>
      </c>
      <c r="G32">
        <v>1.823827023753515</v>
      </c>
      <c r="H32">
        <v>1.304389644413964</v>
      </c>
    </row>
    <row r="33" spans="2:8" x14ac:dyDescent="0.25">
      <c r="B33" t="s">
        <v>7</v>
      </c>
      <c r="C33" t="s">
        <v>57</v>
      </c>
      <c r="D33" t="s">
        <v>37</v>
      </c>
      <c r="E33" t="s">
        <v>18</v>
      </c>
      <c r="F33">
        <v>0.87025328730460405</v>
      </c>
      <c r="G33">
        <v>1.7108375888338001</v>
      </c>
      <c r="H33">
        <v>0.90237203134125521</v>
      </c>
    </row>
    <row r="34" spans="2:8" x14ac:dyDescent="0.25">
      <c r="B34" t="s">
        <v>7</v>
      </c>
      <c r="C34" t="s">
        <v>57</v>
      </c>
      <c r="D34" t="s">
        <v>37</v>
      </c>
      <c r="E34" t="s">
        <v>63</v>
      </c>
      <c r="F34">
        <v>1.47405194822699</v>
      </c>
      <c r="G34">
        <v>2.3070730207016772</v>
      </c>
      <c r="H34">
        <v>1.3964280004573359</v>
      </c>
    </row>
    <row r="35" spans="2:8" x14ac:dyDescent="0.25">
      <c r="B35" t="s">
        <v>7</v>
      </c>
      <c r="C35" t="s">
        <v>58</v>
      </c>
      <c r="D35" t="s">
        <v>59</v>
      </c>
      <c r="E35" t="s">
        <v>17</v>
      </c>
      <c r="F35">
        <v>0.16006117834818401</v>
      </c>
      <c r="G35">
        <v>0.427918475365268</v>
      </c>
      <c r="H35">
        <v>0.13457424038609511</v>
      </c>
    </row>
    <row r="36" spans="2:8" x14ac:dyDescent="0.25">
      <c r="B36" t="s">
        <v>7</v>
      </c>
      <c r="C36" t="s">
        <v>58</v>
      </c>
      <c r="D36" t="s">
        <v>59</v>
      </c>
      <c r="E36" t="s">
        <v>16</v>
      </c>
      <c r="F36">
        <v>0.15323674117692601</v>
      </c>
      <c r="G36">
        <v>0.22703501353244049</v>
      </c>
      <c r="H36">
        <v>0.11154328255812181</v>
      </c>
    </row>
    <row r="37" spans="2:8" x14ac:dyDescent="0.25">
      <c r="B37" t="s">
        <v>7</v>
      </c>
      <c r="C37" t="s">
        <v>58</v>
      </c>
      <c r="D37" t="s">
        <v>59</v>
      </c>
      <c r="E37" t="s">
        <v>18</v>
      </c>
      <c r="F37">
        <v>0.20529978229505999</v>
      </c>
      <c r="G37">
        <v>0.25364657107673733</v>
      </c>
      <c r="H37">
        <v>0.12645711062029441</v>
      </c>
    </row>
    <row r="38" spans="2:8" x14ac:dyDescent="0.25">
      <c r="B38" t="s">
        <v>7</v>
      </c>
      <c r="C38" t="s">
        <v>58</v>
      </c>
      <c r="D38" t="s">
        <v>59</v>
      </c>
      <c r="E38" t="s">
        <v>63</v>
      </c>
      <c r="F38">
        <v>0.2451171048471433</v>
      </c>
      <c r="G38">
        <v>0.48057770500266972</v>
      </c>
      <c r="H38">
        <v>0.14264869480926079</v>
      </c>
    </row>
    <row r="39" spans="2:8" x14ac:dyDescent="0.25">
      <c r="B39" t="s">
        <v>8</v>
      </c>
      <c r="C39" t="s">
        <v>39</v>
      </c>
      <c r="D39" t="s">
        <v>37</v>
      </c>
      <c r="E39" t="s">
        <v>17</v>
      </c>
      <c r="F39">
        <v>1.0565828625235349</v>
      </c>
      <c r="G39">
        <v>1.636837604229183</v>
      </c>
      <c r="H39">
        <v>0.63521889116318253</v>
      </c>
    </row>
    <row r="40" spans="2:8" x14ac:dyDescent="0.25">
      <c r="B40" t="s">
        <v>8</v>
      </c>
      <c r="C40" t="s">
        <v>39</v>
      </c>
      <c r="D40" t="s">
        <v>37</v>
      </c>
      <c r="E40" t="s">
        <v>16</v>
      </c>
      <c r="F40">
        <v>1.0530503144654</v>
      </c>
      <c r="G40">
        <v>1.387875</v>
      </c>
      <c r="H40">
        <v>0.58046250827361301</v>
      </c>
    </row>
    <row r="41" spans="2:8" x14ac:dyDescent="0.25">
      <c r="B41" t="s">
        <v>8</v>
      </c>
      <c r="C41" t="s">
        <v>39</v>
      </c>
      <c r="D41" t="s">
        <v>37</v>
      </c>
      <c r="E41" t="s">
        <v>18</v>
      </c>
      <c r="F41">
        <v>0.52730434782608604</v>
      </c>
      <c r="G41">
        <v>1.2128000000000001</v>
      </c>
      <c r="H41">
        <v>0.38109539899053058</v>
      </c>
    </row>
    <row r="42" spans="2:8" x14ac:dyDescent="0.25">
      <c r="B42" t="s">
        <v>8</v>
      </c>
      <c r="C42" t="s">
        <v>39</v>
      </c>
      <c r="D42" t="s">
        <v>37</v>
      </c>
      <c r="E42" t="s">
        <v>63</v>
      </c>
      <c r="F42">
        <v>1.1199778342749469</v>
      </c>
      <c r="G42">
        <v>1.735047860482934</v>
      </c>
      <c r="H42">
        <v>0.67333202463297348</v>
      </c>
    </row>
    <row r="43" spans="2:8" x14ac:dyDescent="0.25">
      <c r="B43" t="s">
        <v>8</v>
      </c>
      <c r="C43" t="s">
        <v>57</v>
      </c>
      <c r="D43" t="s">
        <v>37</v>
      </c>
      <c r="E43" t="s">
        <v>17</v>
      </c>
      <c r="F43">
        <v>1.3809634342351951</v>
      </c>
      <c r="G43">
        <v>2.663413396709815</v>
      </c>
      <c r="H43">
        <v>1.0594644226224159</v>
      </c>
    </row>
    <row r="44" spans="2:8" x14ac:dyDescent="0.25">
      <c r="B44" t="s">
        <v>8</v>
      </c>
      <c r="C44" t="s">
        <v>57</v>
      </c>
      <c r="D44" t="s">
        <v>37</v>
      </c>
      <c r="E44" t="s">
        <v>16</v>
      </c>
      <c r="F44">
        <v>1.3806397727272699</v>
      </c>
      <c r="G44">
        <v>2.3936390756645221</v>
      </c>
      <c r="H44">
        <v>1.0393517215367261</v>
      </c>
    </row>
    <row r="45" spans="2:8" x14ac:dyDescent="0.25">
      <c r="B45" t="s">
        <v>8</v>
      </c>
      <c r="C45" t="s">
        <v>57</v>
      </c>
      <c r="D45" t="s">
        <v>37</v>
      </c>
      <c r="E45" t="s">
        <v>18</v>
      </c>
      <c r="F45">
        <v>0.85370083907561001</v>
      </c>
      <c r="G45">
        <v>1.638034928132007</v>
      </c>
      <c r="H45">
        <v>0.74259016467831507</v>
      </c>
    </row>
    <row r="46" spans="2:8" x14ac:dyDescent="0.25">
      <c r="B46" t="s">
        <v>8</v>
      </c>
      <c r="C46" t="s">
        <v>57</v>
      </c>
      <c r="D46" t="s">
        <v>37</v>
      </c>
      <c r="E46" t="s">
        <v>63</v>
      </c>
      <c r="F46">
        <v>1.4638212402893069</v>
      </c>
      <c r="G46">
        <v>2.8232182005124038</v>
      </c>
      <c r="H46">
        <v>1.123032287979761</v>
      </c>
    </row>
    <row r="47" spans="2:8" x14ac:dyDescent="0.25">
      <c r="B47" t="s">
        <v>8</v>
      </c>
      <c r="C47" t="s">
        <v>58</v>
      </c>
      <c r="D47" t="s">
        <v>59</v>
      </c>
      <c r="E47" t="s">
        <v>17</v>
      </c>
      <c r="F47">
        <v>0.15423355366698099</v>
      </c>
      <c r="G47">
        <v>0.37761735445174699</v>
      </c>
      <c r="H47">
        <v>0.13449716366599709</v>
      </c>
    </row>
    <row r="48" spans="2:8" x14ac:dyDescent="0.25">
      <c r="B48" t="s">
        <v>8</v>
      </c>
      <c r="C48" t="s">
        <v>58</v>
      </c>
      <c r="D48" t="s">
        <v>59</v>
      </c>
      <c r="E48" t="s">
        <v>16</v>
      </c>
      <c r="F48">
        <v>0.17213326446280899</v>
      </c>
      <c r="G48">
        <v>0.42416016287750202</v>
      </c>
      <c r="H48">
        <v>0.16092622769786799</v>
      </c>
    </row>
    <row r="49" spans="2:8" x14ac:dyDescent="0.25">
      <c r="B49" t="s">
        <v>8</v>
      </c>
      <c r="C49" t="s">
        <v>58</v>
      </c>
      <c r="D49" t="s">
        <v>59</v>
      </c>
      <c r="E49" t="s">
        <v>18</v>
      </c>
      <c r="F49">
        <v>0.23124720893141901</v>
      </c>
      <c r="G49">
        <v>0.61563791322313999</v>
      </c>
      <c r="H49">
        <v>0.13614820244810741</v>
      </c>
    </row>
    <row r="50" spans="2:8" x14ac:dyDescent="0.25">
      <c r="B50" t="s">
        <v>8</v>
      </c>
      <c r="C50" t="s">
        <v>58</v>
      </c>
      <c r="D50" t="s">
        <v>59</v>
      </c>
      <c r="E50" t="s">
        <v>63</v>
      </c>
      <c r="F50">
        <v>0.24512204146730421</v>
      </c>
      <c r="G50">
        <v>0.65257618801652839</v>
      </c>
      <c r="H50">
        <v>0.1705818013597401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22F2-CCB3-4621-8274-2FA5DB103911}">
  <sheetPr>
    <tabColor rgb="FF00B050"/>
  </sheetPr>
  <dimension ref="A1:R193"/>
  <sheetViews>
    <sheetView tabSelected="1" workbookViewId="0">
      <selection activeCell="J12" sqref="J12"/>
    </sheetView>
  </sheetViews>
  <sheetFormatPr defaultRowHeight="15" x14ac:dyDescent="0.25"/>
  <cols>
    <col min="1" max="1" width="20" bestFit="1" customWidth="1"/>
    <col min="2" max="2" width="8.85546875" bestFit="1" customWidth="1"/>
    <col min="3" max="3" width="9.140625" bestFit="1" customWidth="1"/>
    <col min="4" max="4" width="13.28515625" bestFit="1" customWidth="1"/>
    <col min="5" max="5" width="22" bestFit="1" customWidth="1"/>
    <col min="6" max="15" width="12" bestFit="1" customWidth="1"/>
    <col min="16" max="16" width="34.42578125" bestFit="1" customWidth="1"/>
    <col min="17" max="17" width="14" bestFit="1" customWidth="1"/>
    <col min="18" max="18" width="17" bestFit="1" customWidth="1"/>
  </cols>
  <sheetData>
    <row r="1" spans="1:18" x14ac:dyDescent="0.25">
      <c r="A1" s="1" t="s">
        <v>31</v>
      </c>
      <c r="B1" s="1" t="s">
        <v>0</v>
      </c>
      <c r="C1" s="1" t="s">
        <v>32</v>
      </c>
      <c r="D1" s="1" t="s">
        <v>33</v>
      </c>
      <c r="E1" s="1" t="s">
        <v>34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35</v>
      </c>
      <c r="Q1" s="1" t="s">
        <v>68</v>
      </c>
      <c r="R1" s="43" t="s">
        <v>60</v>
      </c>
    </row>
    <row r="2" spans="1:18" x14ac:dyDescent="0.25">
      <c r="A2" t="s">
        <v>36</v>
      </c>
      <c r="B2" t="s">
        <v>5</v>
      </c>
      <c r="C2" t="s">
        <v>37</v>
      </c>
      <c r="D2" t="s">
        <v>38</v>
      </c>
      <c r="E2" t="s">
        <v>39</v>
      </c>
      <c r="F2">
        <v>0.484996698113207</v>
      </c>
      <c r="G2">
        <v>0.47199976415094302</v>
      </c>
      <c r="H2">
        <v>0.46544575471698102</v>
      </c>
      <c r="I2">
        <v>0.45567028301886697</v>
      </c>
      <c r="J2">
        <v>0.43934080188679198</v>
      </c>
      <c r="K2">
        <v>0.43934080188679198</v>
      </c>
      <c r="L2">
        <v>0.43934080188679198</v>
      </c>
      <c r="M2">
        <v>0.43934080188679198</v>
      </c>
      <c r="N2">
        <v>0.43934080188679198</v>
      </c>
      <c r="O2">
        <v>0.43934080188679198</v>
      </c>
      <c r="P2" t="s">
        <v>29</v>
      </c>
      <c r="R2" t="s">
        <v>61</v>
      </c>
    </row>
    <row r="3" spans="1:18" x14ac:dyDescent="0.25">
      <c r="A3" t="s">
        <v>5</v>
      </c>
      <c r="B3" t="s">
        <v>5</v>
      </c>
      <c r="C3" t="s">
        <v>37</v>
      </c>
      <c r="D3" t="s">
        <v>38</v>
      </c>
      <c r="E3" t="s">
        <v>39</v>
      </c>
      <c r="F3">
        <v>1.2427229437229399</v>
      </c>
      <c r="G3">
        <v>0.72375</v>
      </c>
      <c r="I3">
        <v>1.0009534992954401</v>
      </c>
      <c r="P3" t="s">
        <v>12</v>
      </c>
      <c r="Q3">
        <v>1.11054817821914</v>
      </c>
      <c r="R3" t="s">
        <v>51</v>
      </c>
    </row>
    <row r="4" spans="1:18" x14ac:dyDescent="0.25">
      <c r="A4" t="s">
        <v>5</v>
      </c>
      <c r="B4" t="s">
        <v>5</v>
      </c>
      <c r="C4" t="s">
        <v>37</v>
      </c>
      <c r="D4" t="s">
        <v>38</v>
      </c>
      <c r="E4" t="s">
        <v>39</v>
      </c>
      <c r="F4">
        <v>1.2431276415891701</v>
      </c>
      <c r="G4">
        <v>0.72375</v>
      </c>
      <c r="I4">
        <v>1.0009534992954401</v>
      </c>
      <c r="P4" t="s">
        <v>40</v>
      </c>
      <c r="Q4">
        <v>1.0316717791411001</v>
      </c>
      <c r="R4" t="s">
        <v>53</v>
      </c>
    </row>
    <row r="5" spans="1:18" x14ac:dyDescent="0.25">
      <c r="A5" t="s">
        <v>5</v>
      </c>
      <c r="B5" t="s">
        <v>5</v>
      </c>
      <c r="C5" t="s">
        <v>37</v>
      </c>
      <c r="D5" t="s">
        <v>38</v>
      </c>
      <c r="E5" t="s">
        <v>39</v>
      </c>
      <c r="F5">
        <v>2.38955769230768</v>
      </c>
      <c r="G5">
        <v>0.72375</v>
      </c>
      <c r="I5">
        <v>1.0009534992954401</v>
      </c>
      <c r="P5" t="s">
        <v>41</v>
      </c>
      <c r="Q5">
        <v>2.1424534363107202</v>
      </c>
      <c r="R5" t="s">
        <v>54</v>
      </c>
    </row>
    <row r="6" spans="1:18" x14ac:dyDescent="0.25">
      <c r="A6" t="s">
        <v>5</v>
      </c>
      <c r="B6" t="s">
        <v>5</v>
      </c>
      <c r="C6" t="s">
        <v>37</v>
      </c>
      <c r="D6" t="s">
        <v>38</v>
      </c>
      <c r="E6" t="s">
        <v>39</v>
      </c>
      <c r="F6">
        <v>0.9</v>
      </c>
      <c r="G6">
        <v>0.60768579928491495</v>
      </c>
      <c r="H6">
        <v>0.40014097859743802</v>
      </c>
      <c r="I6">
        <v>1.0009534992954401</v>
      </c>
      <c r="P6" t="s">
        <v>13</v>
      </c>
      <c r="Q6">
        <v>0.72375</v>
      </c>
      <c r="R6" t="s">
        <v>51</v>
      </c>
    </row>
    <row r="7" spans="1:18" x14ac:dyDescent="0.25">
      <c r="A7" t="s">
        <v>5</v>
      </c>
      <c r="B7" t="s">
        <v>5</v>
      </c>
      <c r="C7" t="s">
        <v>37</v>
      </c>
      <c r="D7" t="s">
        <v>38</v>
      </c>
      <c r="E7" t="s">
        <v>39</v>
      </c>
      <c r="F7">
        <v>0.81984328002456397</v>
      </c>
      <c r="G7">
        <v>0.57238551317783803</v>
      </c>
      <c r="H7">
        <v>0.39997226806633901</v>
      </c>
      <c r="I7">
        <v>1.0009534992954401</v>
      </c>
      <c r="P7" t="s">
        <v>42</v>
      </c>
      <c r="Q7">
        <v>0.69825606401194396</v>
      </c>
      <c r="R7" t="s">
        <v>53</v>
      </c>
    </row>
    <row r="8" spans="1:18" x14ac:dyDescent="0.25">
      <c r="A8" t="s">
        <v>5</v>
      </c>
      <c r="B8" t="s">
        <v>5</v>
      </c>
      <c r="C8" t="s">
        <v>37</v>
      </c>
      <c r="D8" t="s">
        <v>38</v>
      </c>
      <c r="E8" t="s">
        <v>39</v>
      </c>
      <c r="F8">
        <v>1.4225010117361301</v>
      </c>
      <c r="G8">
        <v>0.61749720670390995</v>
      </c>
      <c r="H8">
        <v>0.40137041667707701</v>
      </c>
      <c r="I8">
        <v>1.0009534992954401</v>
      </c>
      <c r="P8" t="s">
        <v>43</v>
      </c>
      <c r="Q8">
        <v>1.33638128292068</v>
      </c>
      <c r="R8" t="s">
        <v>54</v>
      </c>
    </row>
    <row r="9" spans="1:18" x14ac:dyDescent="0.25">
      <c r="A9" t="s">
        <v>5</v>
      </c>
      <c r="B9" t="s">
        <v>5</v>
      </c>
      <c r="C9" t="s">
        <v>37</v>
      </c>
      <c r="D9" t="s">
        <v>38</v>
      </c>
      <c r="E9" t="s">
        <v>39</v>
      </c>
      <c r="F9">
        <v>0.81143722943722896</v>
      </c>
      <c r="G9">
        <v>0.47199999999999998</v>
      </c>
      <c r="I9">
        <v>0.45566932832315599</v>
      </c>
      <c r="P9" t="s">
        <v>14</v>
      </c>
      <c r="Q9">
        <v>0.70006349206349106</v>
      </c>
      <c r="R9" t="s">
        <v>51</v>
      </c>
    </row>
    <row r="10" spans="1:18" x14ac:dyDescent="0.25">
      <c r="A10" t="s">
        <v>5</v>
      </c>
      <c r="B10" t="s">
        <v>5</v>
      </c>
      <c r="C10" t="s">
        <v>37</v>
      </c>
      <c r="D10" t="s">
        <v>38</v>
      </c>
      <c r="E10" t="s">
        <v>39</v>
      </c>
      <c r="F10">
        <v>0.70024513947590805</v>
      </c>
      <c r="G10">
        <v>0.47199999999999998</v>
      </c>
      <c r="I10">
        <v>0.45566932832315599</v>
      </c>
      <c r="P10" t="s">
        <v>44</v>
      </c>
      <c r="Q10">
        <v>0.53213445807770898</v>
      </c>
      <c r="R10" t="s">
        <v>53</v>
      </c>
    </row>
    <row r="11" spans="1:18" x14ac:dyDescent="0.25">
      <c r="A11" t="s">
        <v>5</v>
      </c>
      <c r="B11" t="s">
        <v>5</v>
      </c>
      <c r="C11" t="s">
        <v>37</v>
      </c>
      <c r="D11" t="s">
        <v>38</v>
      </c>
      <c r="E11" t="s">
        <v>39</v>
      </c>
      <c r="F11">
        <v>1.3850378889635</v>
      </c>
      <c r="G11">
        <v>0.47199999999999998</v>
      </c>
      <c r="I11">
        <v>0.45566932832315599</v>
      </c>
      <c r="P11" t="s">
        <v>45</v>
      </c>
      <c r="Q11">
        <v>1.23189900007461</v>
      </c>
      <c r="R11" t="s">
        <v>54</v>
      </c>
    </row>
    <row r="12" spans="1:18" x14ac:dyDescent="0.25">
      <c r="A12" t="s">
        <v>5</v>
      </c>
      <c r="B12" t="s">
        <v>5</v>
      </c>
      <c r="C12" t="s">
        <v>37</v>
      </c>
      <c r="D12" t="s">
        <v>38</v>
      </c>
      <c r="E12" t="s">
        <v>39</v>
      </c>
      <c r="F12">
        <v>1.3172863203463101</v>
      </c>
      <c r="G12">
        <v>0.76717500000000005</v>
      </c>
      <c r="H12">
        <v>0.42414943731328397</v>
      </c>
      <c r="I12">
        <v>1.06101070925316</v>
      </c>
      <c r="P12" t="s">
        <v>15</v>
      </c>
      <c r="Q12">
        <v>1.1771810689122899</v>
      </c>
      <c r="R12" t="s">
        <v>51</v>
      </c>
    </row>
    <row r="13" spans="1:18" x14ac:dyDescent="0.25">
      <c r="A13" t="s">
        <v>5</v>
      </c>
      <c r="B13" t="s">
        <v>5</v>
      </c>
      <c r="C13" t="s">
        <v>37</v>
      </c>
      <c r="D13" t="s">
        <v>38</v>
      </c>
      <c r="E13" t="s">
        <v>39</v>
      </c>
      <c r="F13">
        <v>1.3177153000845201</v>
      </c>
      <c r="G13">
        <v>0.76717500000000005</v>
      </c>
      <c r="H13">
        <v>0.42397060415031901</v>
      </c>
      <c r="I13">
        <v>1.06101070925316</v>
      </c>
      <c r="P13" t="s">
        <v>46</v>
      </c>
      <c r="Q13">
        <v>1.0935720858895599</v>
      </c>
      <c r="R13" t="s">
        <v>53</v>
      </c>
    </row>
    <row r="14" spans="1:18" x14ac:dyDescent="0.25">
      <c r="A14" t="s">
        <v>5</v>
      </c>
      <c r="B14" t="s">
        <v>5</v>
      </c>
      <c r="C14" t="s">
        <v>37</v>
      </c>
      <c r="D14" t="s">
        <v>38</v>
      </c>
      <c r="E14" t="s">
        <v>39</v>
      </c>
      <c r="F14">
        <v>2.5329311538461501</v>
      </c>
      <c r="G14">
        <v>0.76717500000000005</v>
      </c>
      <c r="H14">
        <v>0.42545264167770203</v>
      </c>
      <c r="I14">
        <v>1.06101070925316</v>
      </c>
      <c r="P14" t="s">
        <v>47</v>
      </c>
      <c r="Q14">
        <v>2.2710006424893598</v>
      </c>
      <c r="R14" t="s">
        <v>54</v>
      </c>
    </row>
    <row r="15" spans="1:18" x14ac:dyDescent="0.25">
      <c r="A15" t="s">
        <v>5</v>
      </c>
      <c r="B15" t="s">
        <v>5</v>
      </c>
      <c r="C15" t="s">
        <v>37</v>
      </c>
      <c r="D15" t="s">
        <v>38</v>
      </c>
      <c r="E15" t="s">
        <v>39</v>
      </c>
      <c r="P15" t="s">
        <v>48</v>
      </c>
      <c r="Q15">
        <v>1.0935720858895599</v>
      </c>
      <c r="R15" t="s">
        <v>64</v>
      </c>
    </row>
    <row r="16" spans="1:18" x14ac:dyDescent="0.25">
      <c r="A16" t="s">
        <v>5</v>
      </c>
      <c r="B16" t="s">
        <v>5</v>
      </c>
      <c r="C16" t="s">
        <v>37</v>
      </c>
      <c r="D16" t="s">
        <v>38</v>
      </c>
      <c r="E16" t="s">
        <v>39</v>
      </c>
      <c r="P16" t="s">
        <v>49</v>
      </c>
      <c r="Q16">
        <v>1.1771810689122899</v>
      </c>
      <c r="R16" t="s">
        <v>64</v>
      </c>
    </row>
    <row r="17" spans="1:18" x14ac:dyDescent="0.25">
      <c r="A17" t="s">
        <v>5</v>
      </c>
      <c r="B17" t="s">
        <v>5</v>
      </c>
      <c r="C17" t="s">
        <v>37</v>
      </c>
      <c r="D17" t="s">
        <v>38</v>
      </c>
      <c r="E17" t="s">
        <v>39</v>
      </c>
      <c r="P17" t="s">
        <v>65</v>
      </c>
      <c r="Q17">
        <v>2.2710006424893598</v>
      </c>
      <c r="R17" t="s">
        <v>64</v>
      </c>
    </row>
    <row r="18" spans="1:18" x14ac:dyDescent="0.25">
      <c r="A18" t="s">
        <v>69</v>
      </c>
      <c r="B18" t="s">
        <v>6</v>
      </c>
      <c r="C18" t="s">
        <v>37</v>
      </c>
      <c r="D18" t="s">
        <v>38</v>
      </c>
      <c r="E18" t="s">
        <v>39</v>
      </c>
      <c r="F18">
        <v>0.35569386792452801</v>
      </c>
      <c r="G18">
        <v>0.34636273584905602</v>
      </c>
      <c r="H18">
        <v>0.332366037735849</v>
      </c>
      <c r="I18">
        <v>0.32303490566037701</v>
      </c>
      <c r="J18">
        <v>0.313592688679245</v>
      </c>
      <c r="K18">
        <v>0.313592688679245</v>
      </c>
      <c r="L18">
        <v>0.313592688679245</v>
      </c>
      <c r="M18">
        <v>0.313592688679245</v>
      </c>
      <c r="N18">
        <v>0.313592688679245</v>
      </c>
      <c r="O18">
        <v>0.313592688679245</v>
      </c>
      <c r="P18" t="s">
        <v>29</v>
      </c>
      <c r="R18" t="s">
        <v>61</v>
      </c>
    </row>
    <row r="19" spans="1:18" x14ac:dyDescent="0.25">
      <c r="A19" t="s">
        <v>6</v>
      </c>
      <c r="B19" t="s">
        <v>6</v>
      </c>
      <c r="C19" t="s">
        <v>37</v>
      </c>
      <c r="D19" t="s">
        <v>38</v>
      </c>
      <c r="E19" t="s">
        <v>39</v>
      </c>
      <c r="F19">
        <v>0.77</v>
      </c>
      <c r="H19">
        <v>0.77</v>
      </c>
      <c r="I19">
        <v>0.77006552716430299</v>
      </c>
      <c r="K19">
        <v>9.2138340412711905E-2</v>
      </c>
      <c r="P19" t="s">
        <v>12</v>
      </c>
      <c r="Q19">
        <v>0.77</v>
      </c>
      <c r="R19" t="s">
        <v>51</v>
      </c>
    </row>
    <row r="20" spans="1:18" x14ac:dyDescent="0.25">
      <c r="A20" t="s">
        <v>6</v>
      </c>
      <c r="B20" t="s">
        <v>6</v>
      </c>
      <c r="C20" t="s">
        <v>37</v>
      </c>
      <c r="D20" t="s">
        <v>38</v>
      </c>
      <c r="E20" t="s">
        <v>39</v>
      </c>
      <c r="F20">
        <v>0.69536881104748904</v>
      </c>
      <c r="H20">
        <v>0.77</v>
      </c>
      <c r="I20">
        <v>0.77006552716430299</v>
      </c>
      <c r="K20">
        <v>9.2137021407163899E-2</v>
      </c>
      <c r="P20" t="s">
        <v>40</v>
      </c>
      <c r="Q20">
        <v>0.301488172971837</v>
      </c>
      <c r="R20" t="s">
        <v>53</v>
      </c>
    </row>
    <row r="21" spans="1:18" x14ac:dyDescent="0.25">
      <c r="A21" t="s">
        <v>6</v>
      </c>
      <c r="B21" t="s">
        <v>6</v>
      </c>
      <c r="C21" t="s">
        <v>37</v>
      </c>
      <c r="D21" t="s">
        <v>38</v>
      </c>
      <c r="E21" t="s">
        <v>39</v>
      </c>
      <c r="F21">
        <v>1.16350267379679</v>
      </c>
      <c r="H21">
        <v>0.77</v>
      </c>
      <c r="I21">
        <v>0.77006552716430299</v>
      </c>
      <c r="K21">
        <v>9.2312646882898794E-2</v>
      </c>
      <c r="P21" t="s">
        <v>41</v>
      </c>
      <c r="Q21">
        <v>0.87835294117647</v>
      </c>
      <c r="R21" t="s">
        <v>54</v>
      </c>
    </row>
    <row r="22" spans="1:18" x14ac:dyDescent="0.25">
      <c r="A22" t="s">
        <v>6</v>
      </c>
      <c r="B22" t="s">
        <v>6</v>
      </c>
      <c r="C22" t="s">
        <v>37</v>
      </c>
      <c r="D22" t="s">
        <v>38</v>
      </c>
      <c r="E22" t="s">
        <v>39</v>
      </c>
      <c r="F22">
        <v>0.87835294117647</v>
      </c>
      <c r="G22">
        <v>1.39483486040509</v>
      </c>
      <c r="H22">
        <v>3.0188069643598801</v>
      </c>
      <c r="I22">
        <v>0.77006552716430299</v>
      </c>
      <c r="K22">
        <v>9.2138340412711905E-2</v>
      </c>
      <c r="P22" t="s">
        <v>13</v>
      </c>
      <c r="Q22">
        <v>0.85484795918367296</v>
      </c>
      <c r="R22" t="s">
        <v>51</v>
      </c>
    </row>
    <row r="23" spans="1:18" x14ac:dyDescent="0.25">
      <c r="A23" t="s">
        <v>6</v>
      </c>
      <c r="B23" t="s">
        <v>6</v>
      </c>
      <c r="C23" t="s">
        <v>37</v>
      </c>
      <c r="D23" t="s">
        <v>38</v>
      </c>
      <c r="E23" t="s">
        <v>39</v>
      </c>
      <c r="F23">
        <v>1.1438102704956099</v>
      </c>
      <c r="G23">
        <v>1.42381382895491</v>
      </c>
      <c r="H23">
        <v>3.1778319123020702</v>
      </c>
      <c r="I23">
        <v>0.77006552716430299</v>
      </c>
      <c r="K23">
        <v>9.2137021407163899E-2</v>
      </c>
      <c r="P23" t="s">
        <v>42</v>
      </c>
      <c r="Q23">
        <v>0.79959554604148697</v>
      </c>
      <c r="R23" t="s">
        <v>53</v>
      </c>
    </row>
    <row r="24" spans="1:18" x14ac:dyDescent="0.25">
      <c r="A24" t="s">
        <v>6</v>
      </c>
      <c r="B24" t="s">
        <v>6</v>
      </c>
      <c r="C24" t="s">
        <v>37</v>
      </c>
      <c r="D24" t="s">
        <v>38</v>
      </c>
      <c r="E24" t="s">
        <v>39</v>
      </c>
      <c r="F24">
        <v>1.79952001371389</v>
      </c>
      <c r="G24">
        <v>1.78999449389958</v>
      </c>
      <c r="H24">
        <v>4.1432104465398201</v>
      </c>
      <c r="I24">
        <v>0.77006552716430299</v>
      </c>
      <c r="K24">
        <v>9.2312646882898794E-2</v>
      </c>
      <c r="P24" t="s">
        <v>43</v>
      </c>
      <c r="Q24">
        <v>1.8867687231567001</v>
      </c>
      <c r="R24" t="s">
        <v>54</v>
      </c>
    </row>
    <row r="25" spans="1:18" x14ac:dyDescent="0.25">
      <c r="A25" t="s">
        <v>6</v>
      </c>
      <c r="B25" t="s">
        <v>6</v>
      </c>
      <c r="C25" t="s">
        <v>37</v>
      </c>
      <c r="D25" t="s">
        <v>38</v>
      </c>
      <c r="E25" t="s">
        <v>39</v>
      </c>
      <c r="F25">
        <v>0.35570833333333302</v>
      </c>
      <c r="H25">
        <v>0.332364285714285</v>
      </c>
      <c r="I25">
        <v>0.28893788771220102</v>
      </c>
      <c r="K25">
        <v>9.6043248506307605E-2</v>
      </c>
      <c r="P25" t="s">
        <v>14</v>
      </c>
      <c r="Q25">
        <v>0.35570000000000002</v>
      </c>
      <c r="R25" t="s">
        <v>51</v>
      </c>
    </row>
    <row r="26" spans="1:18" x14ac:dyDescent="0.25">
      <c r="A26" t="s">
        <v>6</v>
      </c>
      <c r="B26" t="s">
        <v>6</v>
      </c>
      <c r="C26" t="s">
        <v>37</v>
      </c>
      <c r="D26" t="s">
        <v>38</v>
      </c>
      <c r="E26" t="s">
        <v>39</v>
      </c>
      <c r="F26">
        <v>0.41671943415291202</v>
      </c>
      <c r="H26">
        <v>0.332364285714285</v>
      </c>
      <c r="I26">
        <v>0.28893788771220102</v>
      </c>
      <c r="K26">
        <v>9.6041873600084302E-2</v>
      </c>
      <c r="P26" t="s">
        <v>44</v>
      </c>
      <c r="Q26">
        <v>0.18009001502754199</v>
      </c>
      <c r="R26" t="s">
        <v>53</v>
      </c>
    </row>
    <row r="27" spans="1:18" x14ac:dyDescent="0.25">
      <c r="A27" t="s">
        <v>6</v>
      </c>
      <c r="B27" t="s">
        <v>6</v>
      </c>
      <c r="C27" t="s">
        <v>37</v>
      </c>
      <c r="D27" t="s">
        <v>38</v>
      </c>
      <c r="E27" t="s">
        <v>39</v>
      </c>
      <c r="F27">
        <v>0.57870588235294096</v>
      </c>
      <c r="H27">
        <v>0.332364285714285</v>
      </c>
      <c r="I27">
        <v>0.28893788771220102</v>
      </c>
      <c r="K27">
        <v>9.6224942245932504E-2</v>
      </c>
      <c r="P27" t="s">
        <v>45</v>
      </c>
      <c r="Q27">
        <v>0.4919</v>
      </c>
      <c r="R27" t="s">
        <v>54</v>
      </c>
    </row>
    <row r="28" spans="1:18" x14ac:dyDescent="0.25">
      <c r="A28" t="s">
        <v>6</v>
      </c>
      <c r="B28" t="s">
        <v>6</v>
      </c>
      <c r="C28" t="s">
        <v>37</v>
      </c>
      <c r="D28" t="s">
        <v>38</v>
      </c>
      <c r="E28" t="s">
        <v>39</v>
      </c>
      <c r="F28">
        <v>0.93105411764705803</v>
      </c>
      <c r="G28">
        <v>1.4785249520293999</v>
      </c>
      <c r="H28">
        <v>3.19993538222147</v>
      </c>
      <c r="I28">
        <v>0.81626945879416102</v>
      </c>
      <c r="K28">
        <v>0.101805843416686</v>
      </c>
      <c r="P28" t="s">
        <v>15</v>
      </c>
      <c r="Q28">
        <v>0.90613883673469298</v>
      </c>
      <c r="R28" t="s">
        <v>51</v>
      </c>
    </row>
    <row r="29" spans="1:18" x14ac:dyDescent="0.25">
      <c r="A29" t="s">
        <v>6</v>
      </c>
      <c r="B29" t="s">
        <v>6</v>
      </c>
      <c r="C29" t="s">
        <v>37</v>
      </c>
      <c r="D29" t="s">
        <v>38</v>
      </c>
      <c r="E29" t="s">
        <v>39</v>
      </c>
      <c r="F29">
        <v>1.2124388867253399</v>
      </c>
      <c r="G29">
        <v>1.5092426586922001</v>
      </c>
      <c r="H29">
        <v>3.3685018270401899</v>
      </c>
      <c r="I29">
        <v>0.81626945879416102</v>
      </c>
      <c r="K29">
        <v>0.101804386016089</v>
      </c>
      <c r="P29" t="s">
        <v>46</v>
      </c>
      <c r="Q29">
        <v>0.84757127880397598</v>
      </c>
      <c r="R29" t="s">
        <v>53</v>
      </c>
    </row>
    <row r="30" spans="1:18" x14ac:dyDescent="0.25">
      <c r="A30" t="s">
        <v>6</v>
      </c>
      <c r="B30" t="s">
        <v>6</v>
      </c>
      <c r="C30" t="s">
        <v>37</v>
      </c>
      <c r="D30" t="s">
        <v>38</v>
      </c>
      <c r="E30" t="s">
        <v>39</v>
      </c>
      <c r="F30">
        <v>1.90749121453672</v>
      </c>
      <c r="G30">
        <v>1.8973941635335601</v>
      </c>
      <c r="H30">
        <v>4.39180307333221</v>
      </c>
      <c r="I30">
        <v>0.81626945879416102</v>
      </c>
      <c r="K30">
        <v>0.101998438780688</v>
      </c>
      <c r="P30" t="s">
        <v>47</v>
      </c>
      <c r="Q30">
        <v>1.9999748465461</v>
      </c>
      <c r="R30" t="s">
        <v>54</v>
      </c>
    </row>
    <row r="31" spans="1:18" x14ac:dyDescent="0.25">
      <c r="A31" t="s">
        <v>6</v>
      </c>
      <c r="B31" t="s">
        <v>6</v>
      </c>
      <c r="C31" t="s">
        <v>37</v>
      </c>
      <c r="D31" t="s">
        <v>38</v>
      </c>
      <c r="E31" t="s">
        <v>39</v>
      </c>
      <c r="P31" t="s">
        <v>48</v>
      </c>
      <c r="Q31">
        <v>0.84757127880397598</v>
      </c>
      <c r="R31" t="s">
        <v>64</v>
      </c>
    </row>
    <row r="32" spans="1:18" x14ac:dyDescent="0.25">
      <c r="A32" t="s">
        <v>6</v>
      </c>
      <c r="B32" t="s">
        <v>6</v>
      </c>
      <c r="C32" t="s">
        <v>37</v>
      </c>
      <c r="D32" t="s">
        <v>38</v>
      </c>
      <c r="E32" t="s">
        <v>39</v>
      </c>
      <c r="P32" t="s">
        <v>49</v>
      </c>
      <c r="Q32">
        <v>0.90613883673469298</v>
      </c>
      <c r="R32" t="s">
        <v>64</v>
      </c>
    </row>
    <row r="33" spans="1:18" x14ac:dyDescent="0.25">
      <c r="A33" t="s">
        <v>6</v>
      </c>
      <c r="B33" t="s">
        <v>6</v>
      </c>
      <c r="C33" t="s">
        <v>37</v>
      </c>
      <c r="D33" t="s">
        <v>38</v>
      </c>
      <c r="E33" t="s">
        <v>39</v>
      </c>
      <c r="P33" t="s">
        <v>65</v>
      </c>
      <c r="Q33">
        <v>1.9999748465461</v>
      </c>
      <c r="R33" t="s">
        <v>64</v>
      </c>
    </row>
    <row r="34" spans="1:18" x14ac:dyDescent="0.25">
      <c r="A34" t="s">
        <v>70</v>
      </c>
      <c r="B34" t="s">
        <v>7</v>
      </c>
      <c r="C34" t="s">
        <v>37</v>
      </c>
      <c r="D34" t="s">
        <v>38</v>
      </c>
      <c r="E34" t="s">
        <v>39</v>
      </c>
      <c r="F34">
        <v>0.51187924528301798</v>
      </c>
      <c r="G34">
        <v>0.49954882075471602</v>
      </c>
      <c r="H34">
        <v>0.49143962264150898</v>
      </c>
      <c r="I34">
        <v>0.48321933962264102</v>
      </c>
      <c r="J34">
        <v>0.46277971698113202</v>
      </c>
      <c r="K34">
        <v>0.46277971698113202</v>
      </c>
      <c r="L34">
        <v>0.46277971698113202</v>
      </c>
      <c r="M34">
        <v>0.46277971698113202</v>
      </c>
      <c r="N34">
        <v>0.46277971698113202</v>
      </c>
      <c r="O34">
        <v>0.46277971698113202</v>
      </c>
      <c r="P34" t="s">
        <v>29</v>
      </c>
      <c r="R34" t="s">
        <v>61</v>
      </c>
    </row>
    <row r="35" spans="1:18" x14ac:dyDescent="0.25">
      <c r="A35" t="s">
        <v>7</v>
      </c>
      <c r="B35" t="s">
        <v>7</v>
      </c>
      <c r="C35" t="s">
        <v>37</v>
      </c>
      <c r="D35" t="s">
        <v>38</v>
      </c>
      <c r="E35" t="s">
        <v>39</v>
      </c>
      <c r="F35">
        <v>1.0108333333333299</v>
      </c>
      <c r="G35">
        <v>0.85836486968939596</v>
      </c>
      <c r="P35" t="s">
        <v>12</v>
      </c>
      <c r="Q35">
        <v>1.0077416666666601</v>
      </c>
      <c r="R35" t="s">
        <v>51</v>
      </c>
    </row>
    <row r="36" spans="1:18" x14ac:dyDescent="0.25">
      <c r="A36" t="s">
        <v>7</v>
      </c>
      <c r="B36" t="s">
        <v>7</v>
      </c>
      <c r="C36" t="s">
        <v>37</v>
      </c>
      <c r="D36" t="s">
        <v>38</v>
      </c>
      <c r="E36" t="s">
        <v>39</v>
      </c>
      <c r="F36">
        <v>1.0691726062525899</v>
      </c>
      <c r="G36">
        <v>0.85836486968939496</v>
      </c>
      <c r="P36" t="s">
        <v>40</v>
      </c>
      <c r="Q36">
        <v>1.04458454440215</v>
      </c>
      <c r="R36" t="s">
        <v>53</v>
      </c>
    </row>
    <row r="37" spans="1:18" x14ac:dyDescent="0.25">
      <c r="A37" t="s">
        <v>7</v>
      </c>
      <c r="B37" t="s">
        <v>7</v>
      </c>
      <c r="C37" t="s">
        <v>37</v>
      </c>
      <c r="D37" t="s">
        <v>38</v>
      </c>
      <c r="E37" t="s">
        <v>39</v>
      </c>
      <c r="F37">
        <v>1.1185714285714199</v>
      </c>
      <c r="G37">
        <v>0.85836486968939596</v>
      </c>
      <c r="P37" t="s">
        <v>41</v>
      </c>
      <c r="Q37">
        <v>1.1181369047618901</v>
      </c>
      <c r="R37" t="s">
        <v>54</v>
      </c>
    </row>
    <row r="38" spans="1:18" x14ac:dyDescent="0.25">
      <c r="A38" t="s">
        <v>7</v>
      </c>
      <c r="B38" t="s">
        <v>7</v>
      </c>
      <c r="C38" t="s">
        <v>37</v>
      </c>
      <c r="D38" t="s">
        <v>38</v>
      </c>
      <c r="E38" t="s">
        <v>39</v>
      </c>
      <c r="F38">
        <v>1.0175675675675599</v>
      </c>
      <c r="G38">
        <v>1.3805602337642</v>
      </c>
      <c r="P38" t="s">
        <v>13</v>
      </c>
      <c r="Q38">
        <v>1.0175675675675599</v>
      </c>
      <c r="R38" t="s">
        <v>51</v>
      </c>
    </row>
    <row r="39" spans="1:18" x14ac:dyDescent="0.25">
      <c r="A39" t="s">
        <v>7</v>
      </c>
      <c r="B39" t="s">
        <v>7</v>
      </c>
      <c r="C39" t="s">
        <v>37</v>
      </c>
      <c r="D39" t="s">
        <v>38</v>
      </c>
      <c r="E39" t="s">
        <v>39</v>
      </c>
      <c r="F39">
        <v>1.1640395925782701</v>
      </c>
      <c r="G39">
        <v>1.3329933222932899</v>
      </c>
      <c r="P39" t="s">
        <v>42</v>
      </c>
      <c r="Q39">
        <v>1.2135277118868499</v>
      </c>
      <c r="R39" t="s">
        <v>53</v>
      </c>
    </row>
    <row r="40" spans="1:18" x14ac:dyDescent="0.25">
      <c r="A40" t="s">
        <v>7</v>
      </c>
      <c r="B40" t="s">
        <v>7</v>
      </c>
      <c r="C40" t="s">
        <v>37</v>
      </c>
      <c r="D40" t="s">
        <v>38</v>
      </c>
      <c r="E40" t="s">
        <v>39</v>
      </c>
      <c r="F40">
        <v>1.341</v>
      </c>
      <c r="G40">
        <v>1.9878842457371799</v>
      </c>
      <c r="P40" t="s">
        <v>43</v>
      </c>
      <c r="Q40">
        <v>1.3451249999999999</v>
      </c>
      <c r="R40" t="s">
        <v>54</v>
      </c>
    </row>
    <row r="41" spans="1:18" x14ac:dyDescent="0.25">
      <c r="A41" t="s">
        <v>7</v>
      </c>
      <c r="B41" t="s">
        <v>7</v>
      </c>
      <c r="C41" t="s">
        <v>37</v>
      </c>
      <c r="D41" t="s">
        <v>38</v>
      </c>
      <c r="E41" t="s">
        <v>39</v>
      </c>
      <c r="F41">
        <v>0.80853333333333299</v>
      </c>
      <c r="G41">
        <v>0.49955016065690799</v>
      </c>
      <c r="P41" t="s">
        <v>14</v>
      </c>
      <c r="Q41">
        <v>0.80853333333333299</v>
      </c>
      <c r="R41" t="s">
        <v>51</v>
      </c>
    </row>
    <row r="42" spans="1:18" x14ac:dyDescent="0.25">
      <c r="A42" t="s">
        <v>7</v>
      </c>
      <c r="B42" t="s">
        <v>7</v>
      </c>
      <c r="C42" t="s">
        <v>37</v>
      </c>
      <c r="D42" t="s">
        <v>38</v>
      </c>
      <c r="E42" t="s">
        <v>39</v>
      </c>
      <c r="F42">
        <v>0.737849304219933</v>
      </c>
      <c r="G42">
        <v>0.49955016065690799</v>
      </c>
      <c r="P42" t="s">
        <v>44</v>
      </c>
      <c r="Q42">
        <v>0.710054716713998</v>
      </c>
      <c r="R42" t="s">
        <v>53</v>
      </c>
    </row>
    <row r="43" spans="1:18" x14ac:dyDescent="0.25">
      <c r="A43" t="s">
        <v>7</v>
      </c>
      <c r="B43" t="s">
        <v>7</v>
      </c>
      <c r="C43" t="s">
        <v>37</v>
      </c>
      <c r="D43" t="s">
        <v>38</v>
      </c>
      <c r="E43" t="s">
        <v>39</v>
      </c>
      <c r="F43">
        <v>1.56814067752779</v>
      </c>
      <c r="G43">
        <v>0.49955016065690799</v>
      </c>
      <c r="P43" t="s">
        <v>45</v>
      </c>
      <c r="Q43">
        <v>1.55510550814584</v>
      </c>
      <c r="R43" t="s">
        <v>54</v>
      </c>
    </row>
    <row r="44" spans="1:18" x14ac:dyDescent="0.25">
      <c r="A44" t="s">
        <v>7</v>
      </c>
      <c r="B44" t="s">
        <v>7</v>
      </c>
      <c r="C44" t="s">
        <v>37</v>
      </c>
      <c r="D44" t="s">
        <v>38</v>
      </c>
      <c r="E44" t="s">
        <v>39</v>
      </c>
      <c r="F44">
        <v>1.07862162162161</v>
      </c>
      <c r="G44">
        <v>1.4633938477900501</v>
      </c>
      <c r="P44" t="s">
        <v>15</v>
      </c>
      <c r="Q44">
        <v>1.07862162162161</v>
      </c>
      <c r="R44" t="s">
        <v>51</v>
      </c>
    </row>
    <row r="45" spans="1:18" x14ac:dyDescent="0.25">
      <c r="A45" t="s">
        <v>7</v>
      </c>
      <c r="B45" t="s">
        <v>7</v>
      </c>
      <c r="C45" t="s">
        <v>37</v>
      </c>
      <c r="D45" t="s">
        <v>38</v>
      </c>
      <c r="E45" t="s">
        <v>39</v>
      </c>
      <c r="F45">
        <v>1.23388196813296</v>
      </c>
      <c r="G45">
        <v>1.4129729216308899</v>
      </c>
      <c r="P45" t="s">
        <v>46</v>
      </c>
      <c r="Q45">
        <v>1.28633937460006</v>
      </c>
      <c r="R45" t="s">
        <v>53</v>
      </c>
    </row>
    <row r="46" spans="1:18" x14ac:dyDescent="0.25">
      <c r="A46" t="s">
        <v>7</v>
      </c>
      <c r="B46" t="s">
        <v>7</v>
      </c>
      <c r="C46" t="s">
        <v>37</v>
      </c>
      <c r="D46" t="s">
        <v>38</v>
      </c>
      <c r="E46" t="s">
        <v>39</v>
      </c>
      <c r="F46">
        <v>1.66222911817945</v>
      </c>
      <c r="G46">
        <v>2.1071573004814099</v>
      </c>
      <c r="P46" t="s">
        <v>47</v>
      </c>
      <c r="Q46">
        <v>1.6484118386345901</v>
      </c>
      <c r="R46" t="s">
        <v>54</v>
      </c>
    </row>
    <row r="47" spans="1:18" x14ac:dyDescent="0.25">
      <c r="A47" t="s">
        <v>7</v>
      </c>
      <c r="B47" t="s">
        <v>7</v>
      </c>
      <c r="C47" t="s">
        <v>37</v>
      </c>
      <c r="D47" t="s">
        <v>38</v>
      </c>
      <c r="E47" t="s">
        <v>39</v>
      </c>
      <c r="P47" t="s">
        <v>48</v>
      </c>
      <c r="Q47">
        <v>1.07862162162161</v>
      </c>
      <c r="R47" t="s">
        <v>64</v>
      </c>
    </row>
    <row r="48" spans="1:18" x14ac:dyDescent="0.25">
      <c r="A48" t="s">
        <v>7</v>
      </c>
      <c r="B48" t="s">
        <v>7</v>
      </c>
      <c r="C48" t="s">
        <v>37</v>
      </c>
      <c r="D48" t="s">
        <v>38</v>
      </c>
      <c r="E48" t="s">
        <v>39</v>
      </c>
      <c r="P48" t="s">
        <v>49</v>
      </c>
      <c r="Q48">
        <v>1.28633937460006</v>
      </c>
      <c r="R48" t="s">
        <v>64</v>
      </c>
    </row>
    <row r="49" spans="1:18" x14ac:dyDescent="0.25">
      <c r="A49" t="s">
        <v>7</v>
      </c>
      <c r="B49" t="s">
        <v>7</v>
      </c>
      <c r="C49" t="s">
        <v>37</v>
      </c>
      <c r="D49" t="s">
        <v>38</v>
      </c>
      <c r="E49" t="s">
        <v>39</v>
      </c>
      <c r="P49" t="s">
        <v>65</v>
      </c>
      <c r="Q49">
        <v>1.6484118386345901</v>
      </c>
      <c r="R49" t="s">
        <v>64</v>
      </c>
    </row>
    <row r="50" spans="1:18" x14ac:dyDescent="0.25">
      <c r="A50" t="s">
        <v>71</v>
      </c>
      <c r="B50" t="s">
        <v>8</v>
      </c>
      <c r="C50" t="s">
        <v>37</v>
      </c>
      <c r="D50" t="s">
        <v>38</v>
      </c>
      <c r="E50" t="s">
        <v>39</v>
      </c>
      <c r="F50">
        <v>0.50221485849056602</v>
      </c>
      <c r="G50">
        <v>0.490106603773584</v>
      </c>
      <c r="H50">
        <v>0.48199740566037702</v>
      </c>
      <c r="I50">
        <v>0.47399929245283001</v>
      </c>
      <c r="J50">
        <v>0.45389292452830099</v>
      </c>
      <c r="K50">
        <v>0.45389292452830099</v>
      </c>
      <c r="L50">
        <v>0.45389292452830099</v>
      </c>
      <c r="M50">
        <v>0.45389292452830099</v>
      </c>
      <c r="N50">
        <v>0.45389292452830099</v>
      </c>
      <c r="O50">
        <v>0.45389292452830099</v>
      </c>
      <c r="P50" t="s">
        <v>29</v>
      </c>
      <c r="R50" t="s">
        <v>61</v>
      </c>
    </row>
    <row r="51" spans="1:18" x14ac:dyDescent="0.25">
      <c r="A51" t="s">
        <v>8</v>
      </c>
      <c r="B51" t="s">
        <v>8</v>
      </c>
      <c r="C51" t="s">
        <v>37</v>
      </c>
      <c r="D51" t="s">
        <v>38</v>
      </c>
      <c r="E51" t="s">
        <v>39</v>
      </c>
      <c r="F51">
        <v>1.05663841807909</v>
      </c>
      <c r="G51">
        <v>1.3353118352308999</v>
      </c>
      <c r="H51">
        <v>1.0105110477203401</v>
      </c>
      <c r="I51">
        <v>1.0140306904271199</v>
      </c>
      <c r="L51">
        <v>0.17673344943062599</v>
      </c>
      <c r="P51" t="s">
        <v>12</v>
      </c>
      <c r="Q51">
        <v>1.0530503144654</v>
      </c>
      <c r="R51" t="s">
        <v>51</v>
      </c>
    </row>
    <row r="52" spans="1:18" x14ac:dyDescent="0.25">
      <c r="A52" t="s">
        <v>8</v>
      </c>
      <c r="B52" t="s">
        <v>8</v>
      </c>
      <c r="C52" t="s">
        <v>37</v>
      </c>
      <c r="D52" t="s">
        <v>38</v>
      </c>
      <c r="E52" t="s">
        <v>39</v>
      </c>
      <c r="F52">
        <v>1.0940327151573901</v>
      </c>
      <c r="G52">
        <v>1.3096829602801501</v>
      </c>
      <c r="H52">
        <v>1.0105110477203401</v>
      </c>
      <c r="I52">
        <v>1.0136229956165901</v>
      </c>
      <c r="L52">
        <v>0.17672992626751399</v>
      </c>
      <c r="P52" t="s">
        <v>40</v>
      </c>
      <c r="Q52">
        <v>0.58046250827361301</v>
      </c>
      <c r="R52" t="s">
        <v>53</v>
      </c>
    </row>
    <row r="53" spans="1:18" x14ac:dyDescent="0.25">
      <c r="A53" t="s">
        <v>8</v>
      </c>
      <c r="B53" t="s">
        <v>8</v>
      </c>
      <c r="C53" t="s">
        <v>37</v>
      </c>
      <c r="D53" t="s">
        <v>38</v>
      </c>
      <c r="E53" t="s">
        <v>39</v>
      </c>
      <c r="F53">
        <v>1.4175703125000001</v>
      </c>
      <c r="G53">
        <v>1.5031780603902101</v>
      </c>
      <c r="H53">
        <v>1.0105110477203401</v>
      </c>
      <c r="I53">
        <v>1.0193424285468899</v>
      </c>
      <c r="L53">
        <v>0.17712799371513299</v>
      </c>
      <c r="P53" t="s">
        <v>41</v>
      </c>
      <c r="Q53">
        <v>1.387875</v>
      </c>
      <c r="R53" t="s">
        <v>54</v>
      </c>
    </row>
    <row r="54" spans="1:18" x14ac:dyDescent="0.25">
      <c r="A54" t="s">
        <v>8</v>
      </c>
      <c r="B54" t="s">
        <v>8</v>
      </c>
      <c r="C54" t="s">
        <v>37</v>
      </c>
      <c r="D54" t="s">
        <v>38</v>
      </c>
      <c r="E54" t="s">
        <v>39</v>
      </c>
      <c r="F54">
        <v>1.05833333333333</v>
      </c>
      <c r="G54">
        <v>1.67104428554953</v>
      </c>
      <c r="H54">
        <v>1.0105110477203401</v>
      </c>
      <c r="I54">
        <v>1.0140306904271199</v>
      </c>
      <c r="L54">
        <v>0.17673344943062599</v>
      </c>
      <c r="P54" t="s">
        <v>13</v>
      </c>
      <c r="Q54">
        <v>1.0565828625235301</v>
      </c>
      <c r="R54" t="s">
        <v>51</v>
      </c>
    </row>
    <row r="55" spans="1:18" x14ac:dyDescent="0.25">
      <c r="A55" t="s">
        <v>8</v>
      </c>
      <c r="B55" t="s">
        <v>8</v>
      </c>
      <c r="C55" t="s">
        <v>37</v>
      </c>
      <c r="D55" t="s">
        <v>38</v>
      </c>
      <c r="E55" t="s">
        <v>39</v>
      </c>
      <c r="F55">
        <v>1.18234601700855</v>
      </c>
      <c r="G55">
        <v>1.6225643722954</v>
      </c>
      <c r="H55">
        <v>1.0105110477203401</v>
      </c>
      <c r="I55">
        <v>1.0136229956165901</v>
      </c>
      <c r="L55">
        <v>0.17672992626751399</v>
      </c>
      <c r="P55" t="s">
        <v>42</v>
      </c>
      <c r="Q55">
        <v>0.63521889116318198</v>
      </c>
      <c r="R55" t="s">
        <v>53</v>
      </c>
    </row>
    <row r="56" spans="1:18" x14ac:dyDescent="0.25">
      <c r="A56" t="s">
        <v>8</v>
      </c>
      <c r="B56" t="s">
        <v>8</v>
      </c>
      <c r="C56" t="s">
        <v>37</v>
      </c>
      <c r="D56" t="s">
        <v>38</v>
      </c>
      <c r="E56" t="s">
        <v>39</v>
      </c>
      <c r="F56">
        <v>1.6368376042291799</v>
      </c>
      <c r="G56">
        <v>2.0455233305642802</v>
      </c>
      <c r="H56">
        <v>1.0105110477203401</v>
      </c>
      <c r="I56">
        <v>1.0193424285468899</v>
      </c>
      <c r="L56">
        <v>0.17712799371513299</v>
      </c>
      <c r="P56" t="s">
        <v>43</v>
      </c>
      <c r="Q56">
        <v>1.6368376042291799</v>
      </c>
      <c r="R56" t="s">
        <v>54</v>
      </c>
    </row>
    <row r="57" spans="1:18" x14ac:dyDescent="0.25">
      <c r="A57" t="s">
        <v>8</v>
      </c>
      <c r="B57" t="s">
        <v>8</v>
      </c>
      <c r="C57" t="s">
        <v>37</v>
      </c>
      <c r="D57" t="s">
        <v>38</v>
      </c>
      <c r="E57" t="s">
        <v>39</v>
      </c>
      <c r="F57">
        <v>0.55127272727272703</v>
      </c>
      <c r="G57">
        <v>0.49010694414032002</v>
      </c>
      <c r="H57">
        <v>0.481999709906686</v>
      </c>
      <c r="I57">
        <v>0.474000108043032</v>
      </c>
      <c r="L57">
        <v>0.23840453715594601</v>
      </c>
      <c r="P57" t="s">
        <v>14</v>
      </c>
      <c r="Q57">
        <v>0.52730434782608604</v>
      </c>
      <c r="R57" t="s">
        <v>51</v>
      </c>
    </row>
    <row r="58" spans="1:18" x14ac:dyDescent="0.25">
      <c r="A58" t="s">
        <v>8</v>
      </c>
      <c r="B58" t="s">
        <v>8</v>
      </c>
      <c r="C58" t="s">
        <v>37</v>
      </c>
      <c r="D58" t="s">
        <v>38</v>
      </c>
      <c r="E58" t="s">
        <v>39</v>
      </c>
      <c r="F58">
        <v>0.61931766203387095</v>
      </c>
      <c r="G58">
        <v>0.49010665636942202</v>
      </c>
      <c r="H58">
        <v>0.481999709906686</v>
      </c>
      <c r="I58">
        <v>0.47400011218937499</v>
      </c>
      <c r="L58">
        <v>0.238409394466986</v>
      </c>
      <c r="P58" t="s">
        <v>44</v>
      </c>
      <c r="Q58">
        <v>0.38109539899053002</v>
      </c>
      <c r="R58" t="s">
        <v>53</v>
      </c>
    </row>
    <row r="59" spans="1:18" x14ac:dyDescent="0.25">
      <c r="A59" t="s">
        <v>8</v>
      </c>
      <c r="B59" t="s">
        <v>8</v>
      </c>
      <c r="C59" t="s">
        <v>37</v>
      </c>
      <c r="D59" t="s">
        <v>38</v>
      </c>
      <c r="E59" t="s">
        <v>39</v>
      </c>
      <c r="F59">
        <v>1.33452908922594</v>
      </c>
      <c r="G59">
        <v>0.49010882900707597</v>
      </c>
      <c r="H59">
        <v>0.481999709906686</v>
      </c>
      <c r="I59">
        <v>0.47400016206454798</v>
      </c>
      <c r="L59">
        <v>0.238948487080509</v>
      </c>
      <c r="P59" t="s">
        <v>45</v>
      </c>
      <c r="Q59">
        <v>1.2128000000000001</v>
      </c>
      <c r="R59" t="s">
        <v>54</v>
      </c>
    </row>
    <row r="60" spans="1:18" x14ac:dyDescent="0.25">
      <c r="A60" t="s">
        <v>8</v>
      </c>
      <c r="B60" t="s">
        <v>8</v>
      </c>
      <c r="C60" t="s">
        <v>37</v>
      </c>
      <c r="D60" t="s">
        <v>38</v>
      </c>
      <c r="E60" t="s">
        <v>39</v>
      </c>
      <c r="F60">
        <v>1.1218333333333299</v>
      </c>
      <c r="G60">
        <v>1.7713069426825001</v>
      </c>
      <c r="H60">
        <v>1.0711417105835599</v>
      </c>
      <c r="I60">
        <v>1.0748725318527499</v>
      </c>
      <c r="L60">
        <v>0.25270880938530199</v>
      </c>
      <c r="P60" t="s">
        <v>15</v>
      </c>
      <c r="Q60">
        <v>1.11997783427494</v>
      </c>
      <c r="R60" t="s">
        <v>51</v>
      </c>
    </row>
    <row r="61" spans="1:18" x14ac:dyDescent="0.25">
      <c r="A61" t="s">
        <v>8</v>
      </c>
      <c r="B61" t="s">
        <v>8</v>
      </c>
      <c r="C61" t="s">
        <v>37</v>
      </c>
      <c r="D61" t="s">
        <v>38</v>
      </c>
      <c r="E61" t="s">
        <v>39</v>
      </c>
      <c r="F61">
        <v>1.25328677802906</v>
      </c>
      <c r="G61">
        <v>1.7199182346331201</v>
      </c>
      <c r="H61">
        <v>1.0711417105835599</v>
      </c>
      <c r="I61">
        <v>1.07444037535359</v>
      </c>
      <c r="L61">
        <v>0.25271395813500502</v>
      </c>
      <c r="P61" t="s">
        <v>46</v>
      </c>
      <c r="Q61">
        <v>0.67333202463297304</v>
      </c>
      <c r="R61" t="s">
        <v>53</v>
      </c>
    </row>
    <row r="62" spans="1:18" x14ac:dyDescent="0.25">
      <c r="A62" t="s">
        <v>8</v>
      </c>
      <c r="B62" t="s">
        <v>8</v>
      </c>
      <c r="C62" t="s">
        <v>37</v>
      </c>
      <c r="D62" t="s">
        <v>38</v>
      </c>
      <c r="E62" t="s">
        <v>39</v>
      </c>
      <c r="F62">
        <v>1.73504786048293</v>
      </c>
      <c r="G62">
        <v>2.1682547303981399</v>
      </c>
      <c r="H62">
        <v>1.0711417105835599</v>
      </c>
      <c r="I62">
        <v>1.0805029742597001</v>
      </c>
      <c r="L62">
        <v>0.25328539630533897</v>
      </c>
      <c r="P62" t="s">
        <v>47</v>
      </c>
      <c r="Q62">
        <v>1.73504786048293</v>
      </c>
      <c r="R62" t="s">
        <v>54</v>
      </c>
    </row>
    <row r="63" spans="1:18" x14ac:dyDescent="0.25">
      <c r="A63" t="s">
        <v>8</v>
      </c>
      <c r="B63" t="s">
        <v>8</v>
      </c>
      <c r="C63" t="s">
        <v>37</v>
      </c>
      <c r="D63" t="s">
        <v>38</v>
      </c>
      <c r="E63" t="s">
        <v>39</v>
      </c>
      <c r="P63" t="s">
        <v>48</v>
      </c>
      <c r="Q63">
        <v>0.67333202463297304</v>
      </c>
      <c r="R63" t="s">
        <v>64</v>
      </c>
    </row>
    <row r="64" spans="1:18" x14ac:dyDescent="0.25">
      <c r="A64" t="s">
        <v>8</v>
      </c>
      <c r="B64" t="s">
        <v>8</v>
      </c>
      <c r="C64" t="s">
        <v>37</v>
      </c>
      <c r="D64" t="s">
        <v>38</v>
      </c>
      <c r="E64" t="s">
        <v>39</v>
      </c>
      <c r="P64" t="s">
        <v>49</v>
      </c>
      <c r="Q64">
        <v>1.11997783427494</v>
      </c>
      <c r="R64" t="s">
        <v>64</v>
      </c>
    </row>
    <row r="65" spans="1:18" x14ac:dyDescent="0.25">
      <c r="A65" t="s">
        <v>8</v>
      </c>
      <c r="B65" t="s">
        <v>8</v>
      </c>
      <c r="C65" t="s">
        <v>37</v>
      </c>
      <c r="D65" t="s">
        <v>38</v>
      </c>
      <c r="E65" t="s">
        <v>39</v>
      </c>
      <c r="P65" t="s">
        <v>65</v>
      </c>
      <c r="Q65">
        <v>1.73504786048293</v>
      </c>
      <c r="R65" t="s">
        <v>64</v>
      </c>
    </row>
    <row r="66" spans="1:18" x14ac:dyDescent="0.25">
      <c r="A66" t="s">
        <v>36</v>
      </c>
      <c r="B66" t="s">
        <v>5</v>
      </c>
      <c r="C66" t="s">
        <v>37</v>
      </c>
      <c r="D66" t="s">
        <v>38</v>
      </c>
      <c r="E66" t="s">
        <v>57</v>
      </c>
      <c r="F66">
        <v>0.82447216981131999</v>
      </c>
      <c r="G66">
        <v>0.80236627358490498</v>
      </c>
      <c r="H66">
        <v>0.79125778301886796</v>
      </c>
      <c r="I66">
        <v>0.77470613207547101</v>
      </c>
      <c r="J66">
        <v>0.74693490566037701</v>
      </c>
      <c r="K66">
        <v>0.74693490566037701</v>
      </c>
      <c r="L66">
        <v>0.74693490566037701</v>
      </c>
      <c r="M66">
        <v>0.74693490566037701</v>
      </c>
      <c r="N66">
        <v>0.74693490566037701</v>
      </c>
      <c r="O66">
        <v>0.74693490566037701</v>
      </c>
      <c r="P66" t="s">
        <v>29</v>
      </c>
      <c r="R66" t="s">
        <v>61</v>
      </c>
    </row>
    <row r="67" spans="1:18" x14ac:dyDescent="0.25">
      <c r="A67" t="s">
        <v>5</v>
      </c>
      <c r="B67" t="s">
        <v>5</v>
      </c>
      <c r="C67" t="s">
        <v>37</v>
      </c>
      <c r="D67" t="s">
        <v>38</v>
      </c>
      <c r="E67" t="s">
        <v>57</v>
      </c>
      <c r="F67">
        <v>1.5000711541198199</v>
      </c>
      <c r="G67">
        <v>1.2758750000000001</v>
      </c>
      <c r="H67">
        <v>1.29674916387959</v>
      </c>
      <c r="I67">
        <v>1.36572344689378</v>
      </c>
      <c r="J67">
        <v>0.27360397141832998</v>
      </c>
      <c r="P67" t="s">
        <v>12</v>
      </c>
      <c r="Q67">
        <v>1.36568781040341</v>
      </c>
      <c r="R67" t="s">
        <v>51</v>
      </c>
    </row>
    <row r="68" spans="1:18" x14ac:dyDescent="0.25">
      <c r="A68" t="s">
        <v>5</v>
      </c>
      <c r="B68" t="s">
        <v>5</v>
      </c>
      <c r="C68" t="s">
        <v>37</v>
      </c>
      <c r="D68" t="s">
        <v>38</v>
      </c>
      <c r="E68" t="s">
        <v>57</v>
      </c>
      <c r="F68">
        <v>2.04125709622781</v>
      </c>
      <c r="G68">
        <v>0.94381618563530201</v>
      </c>
      <c r="H68">
        <v>1.24590651759851</v>
      </c>
      <c r="I68">
        <v>1.36572344689378</v>
      </c>
      <c r="J68">
        <v>0.248649536418759</v>
      </c>
      <c r="P68" t="s">
        <v>40</v>
      </c>
      <c r="Q68">
        <v>1.1493258781955999</v>
      </c>
      <c r="R68" t="s">
        <v>53</v>
      </c>
    </row>
    <row r="69" spans="1:18" x14ac:dyDescent="0.25">
      <c r="A69" t="s">
        <v>5</v>
      </c>
      <c r="B69" t="s">
        <v>5</v>
      </c>
      <c r="C69" t="s">
        <v>37</v>
      </c>
      <c r="D69" t="s">
        <v>38</v>
      </c>
      <c r="E69" t="s">
        <v>57</v>
      </c>
      <c r="F69">
        <v>3.18498757486649</v>
      </c>
      <c r="G69">
        <v>1.3795195530726201</v>
      </c>
      <c r="H69">
        <v>1.3306909174349</v>
      </c>
      <c r="I69">
        <v>1.36572344689378</v>
      </c>
      <c r="J69">
        <v>0.39120816119444102</v>
      </c>
      <c r="P69" t="s">
        <v>41</v>
      </c>
      <c r="Q69">
        <v>2.4123913043478198</v>
      </c>
      <c r="R69" t="s">
        <v>54</v>
      </c>
    </row>
    <row r="70" spans="1:18" x14ac:dyDescent="0.25">
      <c r="A70" t="s">
        <v>5</v>
      </c>
      <c r="B70" t="s">
        <v>5</v>
      </c>
      <c r="C70" t="s">
        <v>37</v>
      </c>
      <c r="D70" t="s">
        <v>38</v>
      </c>
      <c r="E70" t="s">
        <v>57</v>
      </c>
      <c r="F70">
        <v>1.62159712272288</v>
      </c>
      <c r="G70">
        <v>1.3069999999999999</v>
      </c>
      <c r="H70">
        <v>1.2967453136471101</v>
      </c>
      <c r="I70">
        <v>1.36572344689378</v>
      </c>
      <c r="J70">
        <v>0.27360397141832998</v>
      </c>
      <c r="P70" t="s">
        <v>13</v>
      </c>
      <c r="Q70">
        <v>1.3705397501308401</v>
      </c>
      <c r="R70" t="s">
        <v>51</v>
      </c>
    </row>
    <row r="71" spans="1:18" x14ac:dyDescent="0.25">
      <c r="A71" t="s">
        <v>5</v>
      </c>
      <c r="B71" t="s">
        <v>5</v>
      </c>
      <c r="C71" t="s">
        <v>37</v>
      </c>
      <c r="D71" t="s">
        <v>38</v>
      </c>
      <c r="E71" t="s">
        <v>57</v>
      </c>
      <c r="F71">
        <v>1.9212843692222299</v>
      </c>
      <c r="G71">
        <v>1.0611371695610301</v>
      </c>
      <c r="H71">
        <v>1.1266176775268499</v>
      </c>
      <c r="I71">
        <v>1.36572344689378</v>
      </c>
      <c r="J71">
        <v>0.248649536418759</v>
      </c>
      <c r="P71" t="s">
        <v>42</v>
      </c>
      <c r="Q71">
        <v>1.14964831050525</v>
      </c>
      <c r="R71" t="s">
        <v>53</v>
      </c>
    </row>
    <row r="72" spans="1:18" x14ac:dyDescent="0.25">
      <c r="A72" t="s">
        <v>5</v>
      </c>
      <c r="B72" t="s">
        <v>5</v>
      </c>
      <c r="C72" t="s">
        <v>37</v>
      </c>
      <c r="D72" t="s">
        <v>38</v>
      </c>
      <c r="E72" t="s">
        <v>57</v>
      </c>
      <c r="F72">
        <v>3.2759999999999998</v>
      </c>
      <c r="G72">
        <v>1.38820020076815</v>
      </c>
      <c r="H72">
        <v>1.32544301969305</v>
      </c>
      <c r="I72">
        <v>1.36572344689378</v>
      </c>
      <c r="J72">
        <v>0.39120816119444102</v>
      </c>
      <c r="P72" t="s">
        <v>43</v>
      </c>
      <c r="Q72">
        <v>2.68056249999999</v>
      </c>
      <c r="R72" t="s">
        <v>54</v>
      </c>
    </row>
    <row r="73" spans="1:18" x14ac:dyDescent="0.25">
      <c r="A73" t="s">
        <v>5</v>
      </c>
      <c r="B73" t="s">
        <v>5</v>
      </c>
      <c r="C73" t="s">
        <v>37</v>
      </c>
      <c r="D73" t="s">
        <v>38</v>
      </c>
      <c r="E73" t="s">
        <v>57</v>
      </c>
      <c r="F73">
        <v>0.82450219372257805</v>
      </c>
      <c r="G73">
        <v>0.80236792628601405</v>
      </c>
      <c r="H73">
        <v>0.79125853658536505</v>
      </c>
      <c r="I73">
        <v>0.77470541082164301</v>
      </c>
      <c r="J73">
        <v>0.51605744441683898</v>
      </c>
      <c r="P73" t="s">
        <v>14</v>
      </c>
      <c r="Q73">
        <v>0.82447531454053102</v>
      </c>
      <c r="R73" t="s">
        <v>51</v>
      </c>
    </row>
    <row r="74" spans="1:18" x14ac:dyDescent="0.25">
      <c r="A74" t="s">
        <v>5</v>
      </c>
      <c r="B74" t="s">
        <v>5</v>
      </c>
      <c r="C74" t="s">
        <v>37</v>
      </c>
      <c r="D74" t="s">
        <v>38</v>
      </c>
      <c r="E74" t="s">
        <v>57</v>
      </c>
      <c r="F74">
        <v>0.950481072488367</v>
      </c>
      <c r="G74">
        <v>0.80236690663292598</v>
      </c>
      <c r="H74">
        <v>0.79125851434842398</v>
      </c>
      <c r="I74">
        <v>0.77470541082164301</v>
      </c>
      <c r="J74">
        <v>0.51024862399942505</v>
      </c>
      <c r="P74" t="s">
        <v>44</v>
      </c>
      <c r="Q74">
        <v>0.76265565863328899</v>
      </c>
      <c r="R74" t="s">
        <v>53</v>
      </c>
    </row>
    <row r="75" spans="1:18" x14ac:dyDescent="0.25">
      <c r="A75" t="s">
        <v>5</v>
      </c>
      <c r="B75" t="s">
        <v>5</v>
      </c>
      <c r="C75" t="s">
        <v>37</v>
      </c>
      <c r="D75" t="s">
        <v>38</v>
      </c>
      <c r="E75" t="s">
        <v>57</v>
      </c>
      <c r="F75">
        <v>1.7729459630114399</v>
      </c>
      <c r="G75">
        <v>0.802370689655172</v>
      </c>
      <c r="H75">
        <v>0.79125873095144805</v>
      </c>
      <c r="I75">
        <v>0.77470541082164301</v>
      </c>
      <c r="J75">
        <v>0.54343300386174598</v>
      </c>
      <c r="P75" t="s">
        <v>45</v>
      </c>
      <c r="Q75">
        <v>1.13993720735785</v>
      </c>
      <c r="R75" t="s">
        <v>54</v>
      </c>
    </row>
    <row r="76" spans="1:18" x14ac:dyDescent="0.25">
      <c r="A76" t="s">
        <v>5</v>
      </c>
      <c r="B76" t="s">
        <v>5</v>
      </c>
      <c r="C76" t="s">
        <v>37</v>
      </c>
      <c r="D76" t="s">
        <v>38</v>
      </c>
      <c r="E76" t="s">
        <v>57</v>
      </c>
      <c r="F76">
        <v>1.71889295008625</v>
      </c>
      <c r="G76">
        <v>1.3854200000000001</v>
      </c>
      <c r="H76">
        <v>1.37455411371236</v>
      </c>
      <c r="I76">
        <v>1.4476668537074</v>
      </c>
      <c r="J76">
        <v>0.54702089108184904</v>
      </c>
      <c r="P76" t="s">
        <v>15</v>
      </c>
      <c r="Q76">
        <v>1.45277213513869</v>
      </c>
      <c r="R76" t="s">
        <v>51</v>
      </c>
    </row>
    <row r="77" spans="1:18" x14ac:dyDescent="0.25">
      <c r="A77" t="s">
        <v>5</v>
      </c>
      <c r="B77" t="s">
        <v>5</v>
      </c>
      <c r="C77" t="s">
        <v>37</v>
      </c>
      <c r="D77" t="s">
        <v>38</v>
      </c>
      <c r="E77" t="s">
        <v>57</v>
      </c>
      <c r="F77">
        <v>2.1637325220014798</v>
      </c>
      <c r="G77">
        <v>1.1248053997346901</v>
      </c>
      <c r="H77">
        <v>1.3206609086544201</v>
      </c>
      <c r="I77">
        <v>1.4476668537074</v>
      </c>
      <c r="J77">
        <v>0.54086354143939097</v>
      </c>
      <c r="P77" t="s">
        <v>46</v>
      </c>
      <c r="Q77">
        <v>1.2186272091355701</v>
      </c>
      <c r="R77" t="s">
        <v>53</v>
      </c>
    </row>
    <row r="78" spans="1:18" x14ac:dyDescent="0.25">
      <c r="A78" t="s">
        <v>5</v>
      </c>
      <c r="B78" t="s">
        <v>5</v>
      </c>
      <c r="C78" t="s">
        <v>37</v>
      </c>
      <c r="D78" t="s">
        <v>38</v>
      </c>
      <c r="E78" t="s">
        <v>57</v>
      </c>
      <c r="F78">
        <v>3.4725600000000001</v>
      </c>
      <c r="G78">
        <v>1.47149221281424</v>
      </c>
      <c r="H78">
        <v>1.4105323724809899</v>
      </c>
      <c r="I78">
        <v>1.4476668537074</v>
      </c>
      <c r="J78">
        <v>0.576038984093451</v>
      </c>
      <c r="P78" t="s">
        <v>47</v>
      </c>
      <c r="Q78">
        <v>2.8413962499999998</v>
      </c>
      <c r="R78" t="s">
        <v>54</v>
      </c>
    </row>
    <row r="79" spans="1:18" x14ac:dyDescent="0.25">
      <c r="A79" t="s">
        <v>5</v>
      </c>
      <c r="B79" t="s">
        <v>5</v>
      </c>
      <c r="C79" t="s">
        <v>37</v>
      </c>
      <c r="D79" t="s">
        <v>38</v>
      </c>
      <c r="E79" t="s">
        <v>57</v>
      </c>
      <c r="P79" t="s">
        <v>48</v>
      </c>
      <c r="Q79">
        <v>1.2186272091355701</v>
      </c>
      <c r="R79" t="s">
        <v>64</v>
      </c>
    </row>
    <row r="80" spans="1:18" x14ac:dyDescent="0.25">
      <c r="A80" t="s">
        <v>5</v>
      </c>
      <c r="B80" t="s">
        <v>5</v>
      </c>
      <c r="C80" t="s">
        <v>37</v>
      </c>
      <c r="D80" t="s">
        <v>38</v>
      </c>
      <c r="E80" t="s">
        <v>57</v>
      </c>
      <c r="P80" t="s">
        <v>49</v>
      </c>
      <c r="Q80">
        <v>1.45277213513869</v>
      </c>
      <c r="R80" t="s">
        <v>64</v>
      </c>
    </row>
    <row r="81" spans="1:18" x14ac:dyDescent="0.25">
      <c r="A81" t="s">
        <v>5</v>
      </c>
      <c r="B81" t="s">
        <v>5</v>
      </c>
      <c r="C81" t="s">
        <v>37</v>
      </c>
      <c r="D81" t="s">
        <v>38</v>
      </c>
      <c r="E81" t="s">
        <v>57</v>
      </c>
      <c r="P81" t="s">
        <v>65</v>
      </c>
      <c r="Q81">
        <v>2.8413962499999998</v>
      </c>
      <c r="R81" t="s">
        <v>64</v>
      </c>
    </row>
    <row r="82" spans="1:18" x14ac:dyDescent="0.25">
      <c r="A82" t="s">
        <v>69</v>
      </c>
      <c r="B82" t="s">
        <v>6</v>
      </c>
      <c r="C82" t="s">
        <v>37</v>
      </c>
      <c r="D82" t="s">
        <v>38</v>
      </c>
      <c r="E82" t="s">
        <v>57</v>
      </c>
      <c r="F82">
        <v>0.60474622641509401</v>
      </c>
      <c r="G82">
        <v>0.58886108490566003</v>
      </c>
      <c r="H82">
        <v>0.56497783018867898</v>
      </c>
      <c r="I82">
        <v>0.54909268867924499</v>
      </c>
      <c r="J82">
        <v>0.533207547169811</v>
      </c>
      <c r="K82">
        <v>0.533207547169811</v>
      </c>
      <c r="L82">
        <v>0.533207547169811</v>
      </c>
      <c r="M82">
        <v>0.533207547169811</v>
      </c>
      <c r="N82">
        <v>0.533207547169811</v>
      </c>
      <c r="O82">
        <v>0.533207547169811</v>
      </c>
      <c r="P82" t="s">
        <v>29</v>
      </c>
      <c r="R82" t="s">
        <v>61</v>
      </c>
    </row>
    <row r="83" spans="1:18" x14ac:dyDescent="0.25">
      <c r="A83" t="s">
        <v>6</v>
      </c>
      <c r="B83" t="s">
        <v>6</v>
      </c>
      <c r="C83" t="s">
        <v>37</v>
      </c>
      <c r="D83" t="s">
        <v>38</v>
      </c>
      <c r="E83" t="s">
        <v>57</v>
      </c>
      <c r="F83">
        <v>0.83886416259325902</v>
      </c>
      <c r="G83">
        <v>0.65999999999999903</v>
      </c>
      <c r="H83">
        <v>0.57316627856962699</v>
      </c>
      <c r="I83">
        <v>0.29144768275202998</v>
      </c>
      <c r="J83">
        <v>0.25634573867185501</v>
      </c>
      <c r="K83">
        <v>0.15488032457050399</v>
      </c>
      <c r="L83">
        <v>0.115651541937404</v>
      </c>
      <c r="P83" t="s">
        <v>12</v>
      </c>
      <c r="Q83">
        <v>0.780019167620154</v>
      </c>
      <c r="R83" t="s">
        <v>51</v>
      </c>
    </row>
    <row r="84" spans="1:18" x14ac:dyDescent="0.25">
      <c r="A84" t="s">
        <v>6</v>
      </c>
      <c r="B84" t="s">
        <v>6</v>
      </c>
      <c r="C84" t="s">
        <v>37</v>
      </c>
      <c r="D84" t="s">
        <v>38</v>
      </c>
      <c r="E84" t="s">
        <v>57</v>
      </c>
      <c r="F84">
        <v>0.89346051440797103</v>
      </c>
      <c r="G84">
        <v>0.61575378894963495</v>
      </c>
      <c r="H84">
        <v>0.58494728561269804</v>
      </c>
      <c r="I84">
        <v>0.39987047441585599</v>
      </c>
      <c r="J84">
        <v>0.23284194909040601</v>
      </c>
      <c r="K84">
        <v>0.15488032457050399</v>
      </c>
      <c r="L84">
        <v>0.115651541937404</v>
      </c>
      <c r="P84" t="s">
        <v>40</v>
      </c>
      <c r="Q84">
        <v>0.51029371995574702</v>
      </c>
      <c r="R84" t="s">
        <v>53</v>
      </c>
    </row>
    <row r="85" spans="1:18" x14ac:dyDescent="0.25">
      <c r="A85" t="s">
        <v>6</v>
      </c>
      <c r="B85" t="s">
        <v>6</v>
      </c>
      <c r="C85" t="s">
        <v>37</v>
      </c>
      <c r="D85" t="s">
        <v>38</v>
      </c>
      <c r="E85" t="s">
        <v>57</v>
      </c>
      <c r="F85">
        <v>2.36214464882943</v>
      </c>
      <c r="G85">
        <v>0.78000399594258096</v>
      </c>
      <c r="H85">
        <v>0.88098357674452699</v>
      </c>
      <c r="I85">
        <v>0.47572441177553898</v>
      </c>
      <c r="J85">
        <v>0.27120618042643801</v>
      </c>
      <c r="K85">
        <v>0.15488032457050399</v>
      </c>
      <c r="L85">
        <v>0.115651541937404</v>
      </c>
      <c r="P85" t="s">
        <v>41</v>
      </c>
      <c r="Q85">
        <v>1.77964151337792</v>
      </c>
      <c r="R85" t="s">
        <v>54</v>
      </c>
    </row>
    <row r="86" spans="1:18" x14ac:dyDescent="0.25">
      <c r="A86" t="s">
        <v>6</v>
      </c>
      <c r="B86" t="s">
        <v>6</v>
      </c>
      <c r="C86" t="s">
        <v>37</v>
      </c>
      <c r="D86" t="s">
        <v>38</v>
      </c>
      <c r="E86" t="s">
        <v>57</v>
      </c>
      <c r="F86">
        <v>1.0671904315196901</v>
      </c>
      <c r="G86">
        <v>0.56192616014963903</v>
      </c>
      <c r="H86">
        <v>0.57316627856962699</v>
      </c>
      <c r="I86">
        <v>0.34949794605920997</v>
      </c>
      <c r="J86">
        <v>0.24789329161044399</v>
      </c>
      <c r="K86">
        <v>0.15488032457050399</v>
      </c>
      <c r="L86">
        <v>0.115651541937404</v>
      </c>
      <c r="P86" t="s">
        <v>13</v>
      </c>
      <c r="Q86">
        <v>0.78955102040816305</v>
      </c>
      <c r="R86" t="s">
        <v>51</v>
      </c>
    </row>
    <row r="87" spans="1:18" x14ac:dyDescent="0.25">
      <c r="A87" t="s">
        <v>6</v>
      </c>
      <c r="B87" t="s">
        <v>6</v>
      </c>
      <c r="C87" t="s">
        <v>37</v>
      </c>
      <c r="D87" t="s">
        <v>38</v>
      </c>
      <c r="E87" t="s">
        <v>57</v>
      </c>
      <c r="F87">
        <v>1.0254956921162299</v>
      </c>
      <c r="G87">
        <v>0.60920965318961795</v>
      </c>
      <c r="H87">
        <v>0.948943102495441</v>
      </c>
      <c r="I87">
        <v>0.40168433292692901</v>
      </c>
      <c r="J87">
        <v>0.228869676690753</v>
      </c>
      <c r="K87">
        <v>0.15488032457050399</v>
      </c>
      <c r="L87">
        <v>0.115651541937404</v>
      </c>
      <c r="P87" t="s">
        <v>42</v>
      </c>
      <c r="Q87">
        <v>0.61173383386744296</v>
      </c>
      <c r="R87" t="s">
        <v>53</v>
      </c>
    </row>
    <row r="88" spans="1:18" x14ac:dyDescent="0.25">
      <c r="A88" t="s">
        <v>6</v>
      </c>
      <c r="B88" t="s">
        <v>6</v>
      </c>
      <c r="C88" t="s">
        <v>37</v>
      </c>
      <c r="D88" t="s">
        <v>38</v>
      </c>
      <c r="E88" t="s">
        <v>57</v>
      </c>
      <c r="F88">
        <v>2.4200045004500401</v>
      </c>
      <c r="G88">
        <v>0.77994305275364095</v>
      </c>
      <c r="H88">
        <v>1.0423061498623101</v>
      </c>
      <c r="I88">
        <v>0.47066144222455503</v>
      </c>
      <c r="J88">
        <v>0.26907018219538098</v>
      </c>
      <c r="K88">
        <v>0.15488032457050399</v>
      </c>
      <c r="L88">
        <v>0.115651541937404</v>
      </c>
      <c r="P88" t="s">
        <v>43</v>
      </c>
      <c r="Q88">
        <v>2.2134197324414702</v>
      </c>
      <c r="R88" t="s">
        <v>54</v>
      </c>
    </row>
    <row r="89" spans="1:18" x14ac:dyDescent="0.25">
      <c r="A89" t="s">
        <v>6</v>
      </c>
      <c r="B89" t="s">
        <v>6</v>
      </c>
      <c r="C89" t="s">
        <v>37</v>
      </c>
      <c r="D89" t="s">
        <v>38</v>
      </c>
      <c r="E89" t="s">
        <v>57</v>
      </c>
      <c r="F89">
        <v>0.60477453580901797</v>
      </c>
      <c r="G89">
        <v>0.58886158886158801</v>
      </c>
      <c r="H89">
        <v>0.449640589429534</v>
      </c>
      <c r="I89">
        <v>0.27163518860775299</v>
      </c>
      <c r="J89">
        <v>0.177775181608294</v>
      </c>
      <c r="K89">
        <v>0.118647888070907</v>
      </c>
      <c r="L89">
        <v>0.114969673484796</v>
      </c>
      <c r="P89" t="s">
        <v>14</v>
      </c>
      <c r="Q89">
        <v>0.60475744082493499</v>
      </c>
      <c r="R89" t="s">
        <v>51</v>
      </c>
    </row>
    <row r="90" spans="1:18" x14ac:dyDescent="0.25">
      <c r="A90" t="s">
        <v>6</v>
      </c>
      <c r="B90" t="s">
        <v>6</v>
      </c>
      <c r="C90" t="s">
        <v>37</v>
      </c>
      <c r="D90" t="s">
        <v>38</v>
      </c>
      <c r="E90" t="s">
        <v>57</v>
      </c>
      <c r="F90">
        <v>0.71941818166355798</v>
      </c>
      <c r="G90">
        <v>0.58886099118826496</v>
      </c>
      <c r="H90">
        <v>0.44853466143458098</v>
      </c>
      <c r="I90">
        <v>0.28406445017922199</v>
      </c>
      <c r="J90">
        <v>0.17252680636481299</v>
      </c>
      <c r="K90">
        <v>0.118647888070907</v>
      </c>
      <c r="L90">
        <v>0.114969673484796</v>
      </c>
      <c r="P90" t="s">
        <v>44</v>
      </c>
      <c r="Q90">
        <v>0.42185589974543503</v>
      </c>
      <c r="R90" t="s">
        <v>53</v>
      </c>
    </row>
    <row r="91" spans="1:18" x14ac:dyDescent="0.25">
      <c r="A91" t="s">
        <v>6</v>
      </c>
      <c r="B91" t="s">
        <v>6</v>
      </c>
      <c r="C91" t="s">
        <v>37</v>
      </c>
      <c r="D91" t="s">
        <v>38</v>
      </c>
      <c r="E91" t="s">
        <v>57</v>
      </c>
      <c r="F91">
        <v>2.0564381270903</v>
      </c>
      <c r="G91">
        <v>0.58886439764279996</v>
      </c>
      <c r="H91">
        <v>0.53845438419170399</v>
      </c>
      <c r="I91">
        <v>0.29833864104438201</v>
      </c>
      <c r="J91">
        <v>0.18782318469481199</v>
      </c>
      <c r="K91">
        <v>0.118647888070907</v>
      </c>
      <c r="L91">
        <v>0.114969673484796</v>
      </c>
      <c r="P91" t="s">
        <v>45</v>
      </c>
      <c r="Q91">
        <v>1.5374278357567199</v>
      </c>
      <c r="R91" t="s">
        <v>54</v>
      </c>
    </row>
    <row r="92" spans="1:18" x14ac:dyDescent="0.25">
      <c r="A92" t="s">
        <v>6</v>
      </c>
      <c r="B92" t="s">
        <v>6</v>
      </c>
      <c r="C92" t="s">
        <v>37</v>
      </c>
      <c r="D92" t="s">
        <v>38</v>
      </c>
      <c r="E92" t="s">
        <v>57</v>
      </c>
      <c r="F92">
        <v>1.1312218574108699</v>
      </c>
      <c r="G92">
        <v>0.699599999999999</v>
      </c>
      <c r="H92">
        <v>0.60755625528380497</v>
      </c>
      <c r="I92">
        <v>0.37046782282276303</v>
      </c>
      <c r="J92">
        <v>0.27172648299216601</v>
      </c>
      <c r="K92">
        <v>0.16417314404473399</v>
      </c>
      <c r="L92">
        <v>0.122590634453648</v>
      </c>
      <c r="P92" t="s">
        <v>15</v>
      </c>
      <c r="Q92">
        <v>0.83692408163265197</v>
      </c>
      <c r="R92" t="s">
        <v>51</v>
      </c>
    </row>
    <row r="93" spans="1:18" x14ac:dyDescent="0.25">
      <c r="A93" t="s">
        <v>6</v>
      </c>
      <c r="B93" t="s">
        <v>6</v>
      </c>
      <c r="C93" t="s">
        <v>37</v>
      </c>
      <c r="D93" t="s">
        <v>38</v>
      </c>
      <c r="E93" t="s">
        <v>57</v>
      </c>
      <c r="F93">
        <v>1.0870254336431999</v>
      </c>
      <c r="G93">
        <v>0.65269901628661298</v>
      </c>
      <c r="H93">
        <v>1.00587968864516</v>
      </c>
      <c r="I93">
        <v>0.42578539290254502</v>
      </c>
      <c r="J93">
        <v>0.24681246603583101</v>
      </c>
      <c r="K93">
        <v>0.16417314404473399</v>
      </c>
      <c r="L93">
        <v>0.122590634453648</v>
      </c>
      <c r="P93" t="s">
        <v>46</v>
      </c>
      <c r="Q93">
        <v>0.64843786389948899</v>
      </c>
      <c r="R93" t="s">
        <v>53</v>
      </c>
    </row>
    <row r="94" spans="1:18" x14ac:dyDescent="0.25">
      <c r="A94" t="s">
        <v>6</v>
      </c>
      <c r="B94" t="s">
        <v>6</v>
      </c>
      <c r="C94" t="s">
        <v>37</v>
      </c>
      <c r="D94" t="s">
        <v>38</v>
      </c>
      <c r="E94" t="s">
        <v>57</v>
      </c>
      <c r="F94">
        <v>2.56520477047704</v>
      </c>
      <c r="G94">
        <v>0.82680423569913597</v>
      </c>
      <c r="H94">
        <v>1.1048445188540501</v>
      </c>
      <c r="I94">
        <v>0.50426787648207105</v>
      </c>
      <c r="J94">
        <v>0.28747855125202398</v>
      </c>
      <c r="K94">
        <v>0.16417314404473399</v>
      </c>
      <c r="L94">
        <v>0.122590634453648</v>
      </c>
      <c r="P94" t="s">
        <v>47</v>
      </c>
      <c r="Q94">
        <v>2.3462249163879498</v>
      </c>
      <c r="R94" t="s">
        <v>54</v>
      </c>
    </row>
    <row r="95" spans="1:18" x14ac:dyDescent="0.25">
      <c r="A95" t="s">
        <v>6</v>
      </c>
      <c r="B95" t="s">
        <v>6</v>
      </c>
      <c r="C95" t="s">
        <v>37</v>
      </c>
      <c r="D95" t="s">
        <v>38</v>
      </c>
      <c r="E95" t="s">
        <v>57</v>
      </c>
      <c r="P95" t="s">
        <v>48</v>
      </c>
      <c r="Q95">
        <v>0.64843786389948899</v>
      </c>
      <c r="R95" t="s">
        <v>64</v>
      </c>
    </row>
    <row r="96" spans="1:18" x14ac:dyDescent="0.25">
      <c r="A96" t="s">
        <v>6</v>
      </c>
      <c r="B96" t="s">
        <v>6</v>
      </c>
      <c r="C96" t="s">
        <v>37</v>
      </c>
      <c r="D96" t="s">
        <v>38</v>
      </c>
      <c r="E96" t="s">
        <v>57</v>
      </c>
      <c r="P96" t="s">
        <v>49</v>
      </c>
      <c r="Q96">
        <v>0.83692408163265197</v>
      </c>
      <c r="R96" t="s">
        <v>64</v>
      </c>
    </row>
    <row r="97" spans="1:18" x14ac:dyDescent="0.25">
      <c r="A97" t="s">
        <v>6</v>
      </c>
      <c r="B97" t="s">
        <v>6</v>
      </c>
      <c r="C97" t="s">
        <v>37</v>
      </c>
      <c r="D97" t="s">
        <v>38</v>
      </c>
      <c r="E97" t="s">
        <v>57</v>
      </c>
      <c r="P97" t="s">
        <v>65</v>
      </c>
      <c r="Q97">
        <v>2.3462249163879498</v>
      </c>
      <c r="R97" t="s">
        <v>64</v>
      </c>
    </row>
    <row r="98" spans="1:18" x14ac:dyDescent="0.25">
      <c r="A98" t="s">
        <v>70</v>
      </c>
      <c r="B98" t="s">
        <v>7</v>
      </c>
      <c r="C98" t="s">
        <v>37</v>
      </c>
      <c r="D98" t="s">
        <v>38</v>
      </c>
      <c r="E98" t="s">
        <v>57</v>
      </c>
      <c r="F98">
        <v>0.87023915094339599</v>
      </c>
      <c r="G98">
        <v>0.84935518867924498</v>
      </c>
      <c r="H98">
        <v>0.83535849056603695</v>
      </c>
      <c r="I98">
        <v>0.82136179245283003</v>
      </c>
      <c r="J98">
        <v>0.78670330188679205</v>
      </c>
      <c r="K98">
        <v>0.78670330188679205</v>
      </c>
      <c r="L98">
        <v>0.78670330188679205</v>
      </c>
      <c r="M98">
        <v>0.78670330188679205</v>
      </c>
      <c r="N98">
        <v>0.78670330188679205</v>
      </c>
      <c r="O98">
        <v>0.78670330188679205</v>
      </c>
      <c r="P98" t="s">
        <v>29</v>
      </c>
      <c r="R98" t="s">
        <v>61</v>
      </c>
    </row>
    <row r="99" spans="1:18" x14ac:dyDescent="0.25">
      <c r="A99" t="s">
        <v>7</v>
      </c>
      <c r="B99" t="s">
        <v>7</v>
      </c>
      <c r="C99" t="s">
        <v>37</v>
      </c>
      <c r="D99" t="s">
        <v>38</v>
      </c>
      <c r="E99" t="s">
        <v>57</v>
      </c>
      <c r="F99">
        <v>1.4001874414245501</v>
      </c>
      <c r="G99">
        <v>1.0398909307137001</v>
      </c>
      <c r="H99">
        <v>1.1812499999999999</v>
      </c>
      <c r="I99">
        <v>1.3786492700569799</v>
      </c>
      <c r="J99">
        <v>1.4664730525071299</v>
      </c>
      <c r="P99" t="s">
        <v>12</v>
      </c>
      <c r="Q99">
        <v>1.38398829431438</v>
      </c>
      <c r="R99" t="s">
        <v>51</v>
      </c>
    </row>
    <row r="100" spans="1:18" x14ac:dyDescent="0.25">
      <c r="A100" t="s">
        <v>7</v>
      </c>
      <c r="B100" t="s">
        <v>7</v>
      </c>
      <c r="C100" t="s">
        <v>37</v>
      </c>
      <c r="D100" t="s">
        <v>38</v>
      </c>
      <c r="E100" t="s">
        <v>57</v>
      </c>
      <c r="F100">
        <v>1.4329235068927999</v>
      </c>
      <c r="G100">
        <v>1.1374496043669799</v>
      </c>
      <c r="H100">
        <v>1.1937879379049601</v>
      </c>
      <c r="I100">
        <v>1.2991864727393101</v>
      </c>
      <c r="J100">
        <v>1.4664730525071299</v>
      </c>
      <c r="P100" t="s">
        <v>40</v>
      </c>
      <c r="Q100">
        <v>1.30438964441396</v>
      </c>
      <c r="R100" t="s">
        <v>53</v>
      </c>
    </row>
    <row r="101" spans="1:18" x14ac:dyDescent="0.25">
      <c r="A101" t="s">
        <v>7</v>
      </c>
      <c r="B101" t="s">
        <v>7</v>
      </c>
      <c r="C101" t="s">
        <v>37</v>
      </c>
      <c r="D101" t="s">
        <v>38</v>
      </c>
      <c r="E101" t="s">
        <v>57</v>
      </c>
      <c r="F101">
        <v>2.16259478889905</v>
      </c>
      <c r="G101">
        <v>1.3768313502726099</v>
      </c>
      <c r="H101">
        <v>1.39813383392226</v>
      </c>
      <c r="I101">
        <v>1.4338104224496899</v>
      </c>
      <c r="J101">
        <v>1.4664730525071299</v>
      </c>
      <c r="P101" t="s">
        <v>41</v>
      </c>
      <c r="Q101">
        <v>1.8238270237535099</v>
      </c>
      <c r="R101" t="s">
        <v>54</v>
      </c>
    </row>
    <row r="102" spans="1:18" x14ac:dyDescent="0.25">
      <c r="A102" t="s">
        <v>7</v>
      </c>
      <c r="B102" t="s">
        <v>7</v>
      </c>
      <c r="C102" t="s">
        <v>37</v>
      </c>
      <c r="D102" t="s">
        <v>38</v>
      </c>
      <c r="E102" t="s">
        <v>57</v>
      </c>
      <c r="F102">
        <v>1.4149916901048301</v>
      </c>
      <c r="G102">
        <v>1.01980809919593</v>
      </c>
      <c r="H102">
        <v>1.1812499999999999</v>
      </c>
      <c r="I102">
        <v>1.3786492700569799</v>
      </c>
      <c r="J102">
        <v>1.4664730525071299</v>
      </c>
      <c r="P102" t="s">
        <v>13</v>
      </c>
      <c r="Q102">
        <v>1.39061504549716</v>
      </c>
      <c r="R102" t="s">
        <v>51</v>
      </c>
    </row>
    <row r="103" spans="1:18" x14ac:dyDescent="0.25">
      <c r="A103" t="s">
        <v>7</v>
      </c>
      <c r="B103" t="s">
        <v>7</v>
      </c>
      <c r="C103" t="s">
        <v>37</v>
      </c>
      <c r="D103" t="s">
        <v>38</v>
      </c>
      <c r="E103" t="s">
        <v>57</v>
      </c>
      <c r="F103">
        <v>1.4719603289285901</v>
      </c>
      <c r="G103">
        <v>1.15000509744007</v>
      </c>
      <c r="H103">
        <v>1.1937879379049601</v>
      </c>
      <c r="I103">
        <v>1.2991864727393101</v>
      </c>
      <c r="J103">
        <v>1.3234049754611501</v>
      </c>
      <c r="P103" t="s">
        <v>42</v>
      </c>
      <c r="Q103">
        <v>1.3173849060918199</v>
      </c>
      <c r="R103" t="s">
        <v>53</v>
      </c>
    </row>
    <row r="104" spans="1:18" x14ac:dyDescent="0.25">
      <c r="A104" t="s">
        <v>7</v>
      </c>
      <c r="B104" t="s">
        <v>7</v>
      </c>
      <c r="C104" t="s">
        <v>37</v>
      </c>
      <c r="D104" t="s">
        <v>38</v>
      </c>
      <c r="E104" t="s">
        <v>57</v>
      </c>
      <c r="F104">
        <v>2.4591100543478199</v>
      </c>
      <c r="G104">
        <v>1.38273429892891</v>
      </c>
      <c r="H104">
        <v>1.39813383392226</v>
      </c>
      <c r="I104">
        <v>1.4338104224496899</v>
      </c>
      <c r="J104">
        <v>1.9432470891928899</v>
      </c>
      <c r="P104" t="s">
        <v>43</v>
      </c>
      <c r="Q104">
        <v>2.1764839817940298</v>
      </c>
      <c r="R104" t="s">
        <v>54</v>
      </c>
    </row>
    <row r="105" spans="1:18" x14ac:dyDescent="0.25">
      <c r="A105" t="s">
        <v>7</v>
      </c>
      <c r="B105" t="s">
        <v>7</v>
      </c>
      <c r="C105" t="s">
        <v>37</v>
      </c>
      <c r="D105" t="s">
        <v>38</v>
      </c>
      <c r="E105" t="s">
        <v>57</v>
      </c>
      <c r="F105">
        <v>0.87027452745274503</v>
      </c>
      <c r="G105">
        <v>0.84935579705987696</v>
      </c>
      <c r="H105">
        <v>0.83535888230855404</v>
      </c>
      <c r="I105">
        <v>0.82136078822054304</v>
      </c>
      <c r="J105">
        <v>0.60772567857495496</v>
      </c>
      <c r="P105" t="s">
        <v>14</v>
      </c>
      <c r="Q105">
        <v>0.87025328730460405</v>
      </c>
      <c r="R105" t="s">
        <v>51</v>
      </c>
    </row>
    <row r="106" spans="1:18" x14ac:dyDescent="0.25">
      <c r="A106" t="s">
        <v>7</v>
      </c>
      <c r="B106" t="s">
        <v>7</v>
      </c>
      <c r="C106" t="s">
        <v>37</v>
      </c>
      <c r="D106" t="s">
        <v>38</v>
      </c>
      <c r="E106" t="s">
        <v>57</v>
      </c>
      <c r="F106">
        <v>1.00671755502641</v>
      </c>
      <c r="G106">
        <v>0.84935549745826799</v>
      </c>
      <c r="H106">
        <v>0.835359033565517</v>
      </c>
      <c r="I106">
        <v>0.80086559676360403</v>
      </c>
      <c r="J106">
        <v>0.60772567857495396</v>
      </c>
      <c r="P106" t="s">
        <v>44</v>
      </c>
      <c r="Q106">
        <v>0.90237203134125499</v>
      </c>
      <c r="R106" t="s">
        <v>53</v>
      </c>
    </row>
    <row r="107" spans="1:18" x14ac:dyDescent="0.25">
      <c r="A107" t="s">
        <v>7</v>
      </c>
      <c r="B107" t="s">
        <v>7</v>
      </c>
      <c r="C107" t="s">
        <v>37</v>
      </c>
      <c r="D107" t="s">
        <v>38</v>
      </c>
      <c r="E107" t="s">
        <v>57</v>
      </c>
      <c r="F107">
        <v>2.3726799106186198</v>
      </c>
      <c r="G107">
        <v>0.84935880140795905</v>
      </c>
      <c r="H107">
        <v>0.83535991361603701</v>
      </c>
      <c r="I107">
        <v>0.82136173198512596</v>
      </c>
      <c r="J107">
        <v>0.60772567857495496</v>
      </c>
      <c r="P107" t="s">
        <v>45</v>
      </c>
      <c r="Q107">
        <v>1.7108375888338001</v>
      </c>
      <c r="R107" t="s">
        <v>54</v>
      </c>
    </row>
    <row r="108" spans="1:18" x14ac:dyDescent="0.25">
      <c r="A108" t="s">
        <v>7</v>
      </c>
      <c r="B108" t="s">
        <v>7</v>
      </c>
      <c r="C108" t="s">
        <v>37</v>
      </c>
      <c r="D108" t="s">
        <v>38</v>
      </c>
      <c r="E108" t="s">
        <v>57</v>
      </c>
      <c r="F108">
        <v>1.4998911915111199</v>
      </c>
      <c r="G108">
        <v>1.1022843865565299</v>
      </c>
      <c r="H108">
        <v>1.2521249999999999</v>
      </c>
      <c r="I108">
        <v>1.46136822626039</v>
      </c>
      <c r="J108">
        <v>1.5544614356575499</v>
      </c>
      <c r="P108" t="s">
        <v>15</v>
      </c>
      <c r="Q108">
        <v>1.47405194822698</v>
      </c>
      <c r="R108" t="s">
        <v>51</v>
      </c>
    </row>
    <row r="109" spans="1:18" x14ac:dyDescent="0.25">
      <c r="A109" t="s">
        <v>7</v>
      </c>
      <c r="B109" t="s">
        <v>7</v>
      </c>
      <c r="C109" t="s">
        <v>37</v>
      </c>
      <c r="D109" t="s">
        <v>38</v>
      </c>
      <c r="E109" t="s">
        <v>57</v>
      </c>
      <c r="F109">
        <v>1.5602779486643099</v>
      </c>
      <c r="G109">
        <v>1.2190054032864801</v>
      </c>
      <c r="H109">
        <v>1.2654152141792501</v>
      </c>
      <c r="I109">
        <v>1.3771376611036701</v>
      </c>
      <c r="J109">
        <v>1.5544614356575499</v>
      </c>
      <c r="P109" t="s">
        <v>46</v>
      </c>
      <c r="Q109">
        <v>1.39642800045733</v>
      </c>
      <c r="R109" t="s">
        <v>53</v>
      </c>
    </row>
    <row r="110" spans="1:18" x14ac:dyDescent="0.25">
      <c r="A110" t="s">
        <v>7</v>
      </c>
      <c r="B110" t="s">
        <v>7</v>
      </c>
      <c r="C110" t="s">
        <v>37</v>
      </c>
      <c r="D110" t="s">
        <v>38</v>
      </c>
      <c r="E110" t="s">
        <v>57</v>
      </c>
      <c r="F110">
        <v>2.6066566576086898</v>
      </c>
      <c r="G110">
        <v>1.46569835686464</v>
      </c>
      <c r="H110">
        <v>1.4820218639575899</v>
      </c>
      <c r="I110">
        <v>1.5198390477966699</v>
      </c>
      <c r="J110">
        <v>2.0598419145444602</v>
      </c>
      <c r="P110" t="s">
        <v>47</v>
      </c>
      <c r="Q110">
        <v>2.3070730207016701</v>
      </c>
      <c r="R110" t="s">
        <v>54</v>
      </c>
    </row>
    <row r="111" spans="1:18" x14ac:dyDescent="0.25">
      <c r="A111" t="s">
        <v>7</v>
      </c>
      <c r="B111" t="s">
        <v>7</v>
      </c>
      <c r="C111" t="s">
        <v>37</v>
      </c>
      <c r="D111" t="s">
        <v>38</v>
      </c>
      <c r="E111" t="s">
        <v>57</v>
      </c>
      <c r="P111" t="s">
        <v>48</v>
      </c>
      <c r="Q111">
        <v>1.39642800045733</v>
      </c>
      <c r="R111" t="s">
        <v>64</v>
      </c>
    </row>
    <row r="112" spans="1:18" x14ac:dyDescent="0.25">
      <c r="A112" t="s">
        <v>7</v>
      </c>
      <c r="B112" t="s">
        <v>7</v>
      </c>
      <c r="C112" t="s">
        <v>37</v>
      </c>
      <c r="D112" t="s">
        <v>38</v>
      </c>
      <c r="E112" t="s">
        <v>57</v>
      </c>
      <c r="P112" t="s">
        <v>49</v>
      </c>
      <c r="Q112">
        <v>1.47405194822698</v>
      </c>
      <c r="R112" t="s">
        <v>64</v>
      </c>
    </row>
    <row r="113" spans="1:18" x14ac:dyDescent="0.25">
      <c r="A113" t="s">
        <v>7</v>
      </c>
      <c r="B113" t="s">
        <v>7</v>
      </c>
      <c r="C113" t="s">
        <v>37</v>
      </c>
      <c r="D113" t="s">
        <v>38</v>
      </c>
      <c r="E113" t="s">
        <v>57</v>
      </c>
      <c r="P113" t="s">
        <v>65</v>
      </c>
      <c r="Q113">
        <v>2.3070730207016701</v>
      </c>
      <c r="R113" t="s">
        <v>64</v>
      </c>
    </row>
    <row r="114" spans="1:18" x14ac:dyDescent="0.25">
      <c r="A114" t="s">
        <v>71</v>
      </c>
      <c r="B114" t="s">
        <v>8</v>
      </c>
      <c r="C114" t="s">
        <v>37</v>
      </c>
      <c r="D114" t="s">
        <v>38</v>
      </c>
      <c r="E114" t="s">
        <v>57</v>
      </c>
      <c r="F114">
        <v>0.85368750000000004</v>
      </c>
      <c r="G114">
        <v>0.83313679245283001</v>
      </c>
      <c r="H114">
        <v>0.81947334905660296</v>
      </c>
      <c r="I114">
        <v>0.80580990566037702</v>
      </c>
      <c r="J114">
        <v>0.77159575471698105</v>
      </c>
      <c r="K114">
        <v>0.77159575471698105</v>
      </c>
      <c r="L114">
        <v>0.77159575471698105</v>
      </c>
      <c r="M114">
        <v>0.77159575471698105</v>
      </c>
      <c r="N114">
        <v>0.77159575471698105</v>
      </c>
      <c r="O114">
        <v>0.77159575471698105</v>
      </c>
      <c r="P114" t="s">
        <v>29</v>
      </c>
      <c r="R114" t="s">
        <v>61</v>
      </c>
    </row>
    <row r="115" spans="1:18" x14ac:dyDescent="0.25">
      <c r="A115" t="s">
        <v>8</v>
      </c>
      <c r="B115" t="s">
        <v>8</v>
      </c>
      <c r="C115" t="s">
        <v>37</v>
      </c>
      <c r="D115" t="s">
        <v>38</v>
      </c>
      <c r="E115" t="s">
        <v>57</v>
      </c>
      <c r="F115">
        <v>1.40393918934717</v>
      </c>
      <c r="G115">
        <v>1.00343372680218</v>
      </c>
      <c r="H115">
        <v>1.01966682430394</v>
      </c>
      <c r="I115">
        <v>0.99367763822279698</v>
      </c>
      <c r="J115">
        <v>0.53962582898626799</v>
      </c>
      <c r="K115">
        <v>0.61857603147026996</v>
      </c>
      <c r="P115" t="s">
        <v>12</v>
      </c>
      <c r="Q115">
        <v>1.3806397727272699</v>
      </c>
      <c r="R115" t="s">
        <v>51</v>
      </c>
    </row>
    <row r="116" spans="1:18" x14ac:dyDescent="0.25">
      <c r="A116" t="s">
        <v>8</v>
      </c>
      <c r="B116" t="s">
        <v>8</v>
      </c>
      <c r="C116" t="s">
        <v>37</v>
      </c>
      <c r="D116" t="s">
        <v>38</v>
      </c>
      <c r="E116" t="s">
        <v>57</v>
      </c>
      <c r="F116">
        <v>1.6013653288080101</v>
      </c>
      <c r="G116">
        <v>1.01277111626628</v>
      </c>
      <c r="H116">
        <v>1.0762062625511599</v>
      </c>
      <c r="I116">
        <v>0.90268223895216704</v>
      </c>
      <c r="J116">
        <v>0.67887261506352503</v>
      </c>
      <c r="K116">
        <v>0.65659076560275798</v>
      </c>
      <c r="P116" t="s">
        <v>40</v>
      </c>
      <c r="Q116">
        <v>1.0393517215367201</v>
      </c>
      <c r="R116" t="s">
        <v>53</v>
      </c>
    </row>
    <row r="117" spans="1:18" x14ac:dyDescent="0.25">
      <c r="A117" t="s">
        <v>8</v>
      </c>
      <c r="B117" t="s">
        <v>8</v>
      </c>
      <c r="C117" t="s">
        <v>37</v>
      </c>
      <c r="D117" t="s">
        <v>38</v>
      </c>
      <c r="E117" t="s">
        <v>57</v>
      </c>
      <c r="F117">
        <v>3.0351744659543902</v>
      </c>
      <c r="G117">
        <v>1.1786174354962999</v>
      </c>
      <c r="H117">
        <v>1.3806655138934101</v>
      </c>
      <c r="I117">
        <v>1.0510584775868801</v>
      </c>
      <c r="J117">
        <v>0.95369316437809104</v>
      </c>
      <c r="K117">
        <v>0.85955975486556502</v>
      </c>
      <c r="P117" t="s">
        <v>41</v>
      </c>
      <c r="Q117">
        <v>2.3936390756645198</v>
      </c>
      <c r="R117" t="s">
        <v>54</v>
      </c>
    </row>
    <row r="118" spans="1:18" x14ac:dyDescent="0.25">
      <c r="A118" t="s">
        <v>8</v>
      </c>
      <c r="B118" t="s">
        <v>8</v>
      </c>
      <c r="C118" t="s">
        <v>37</v>
      </c>
      <c r="D118" t="s">
        <v>38</v>
      </c>
      <c r="E118" t="s">
        <v>57</v>
      </c>
      <c r="F118">
        <v>1.41493333333333</v>
      </c>
      <c r="G118">
        <v>1.0069644411705601</v>
      </c>
      <c r="H118">
        <v>1.01966682430394</v>
      </c>
      <c r="I118">
        <v>0.99367763822279698</v>
      </c>
      <c r="J118">
        <v>0.53962582898626799</v>
      </c>
      <c r="K118">
        <v>0.61857603147026996</v>
      </c>
      <c r="P118" t="s">
        <v>13</v>
      </c>
      <c r="Q118">
        <v>1.38096343423519</v>
      </c>
      <c r="R118" t="s">
        <v>51</v>
      </c>
    </row>
    <row r="119" spans="1:18" x14ac:dyDescent="0.25">
      <c r="A119" t="s">
        <v>8</v>
      </c>
      <c r="B119" t="s">
        <v>8</v>
      </c>
      <c r="C119" t="s">
        <v>37</v>
      </c>
      <c r="D119" t="s">
        <v>38</v>
      </c>
      <c r="E119" t="s">
        <v>57</v>
      </c>
      <c r="F119">
        <v>1.62511134275932</v>
      </c>
      <c r="G119">
        <v>1.0762775363956201</v>
      </c>
      <c r="H119">
        <v>1.0762062625511599</v>
      </c>
      <c r="I119">
        <v>0.90268223895216704</v>
      </c>
      <c r="J119">
        <v>0.67887261506352503</v>
      </c>
      <c r="K119">
        <v>0.65659076560275798</v>
      </c>
      <c r="P119" t="s">
        <v>42</v>
      </c>
      <c r="Q119">
        <v>1.0594644226224099</v>
      </c>
      <c r="R119" t="s">
        <v>53</v>
      </c>
    </row>
    <row r="120" spans="1:18" x14ac:dyDescent="0.25">
      <c r="A120" t="s">
        <v>8</v>
      </c>
      <c r="B120" t="s">
        <v>8</v>
      </c>
      <c r="C120" t="s">
        <v>37</v>
      </c>
      <c r="D120" t="s">
        <v>38</v>
      </c>
      <c r="E120" t="s">
        <v>57</v>
      </c>
      <c r="F120">
        <v>3.2129829984543998</v>
      </c>
      <c r="G120">
        <v>1.31907702211596</v>
      </c>
      <c r="H120">
        <v>1.3806655138934101</v>
      </c>
      <c r="I120">
        <v>1.0510584775868801</v>
      </c>
      <c r="J120">
        <v>0.95369316437809104</v>
      </c>
      <c r="K120">
        <v>0.85955975486556502</v>
      </c>
      <c r="P120" t="s">
        <v>43</v>
      </c>
      <c r="Q120">
        <v>2.6634133967098101</v>
      </c>
      <c r="R120" t="s">
        <v>54</v>
      </c>
    </row>
    <row r="121" spans="1:18" x14ac:dyDescent="0.25">
      <c r="A121" t="s">
        <v>8</v>
      </c>
      <c r="B121" t="s">
        <v>8</v>
      </c>
      <c r="C121" t="s">
        <v>37</v>
      </c>
      <c r="D121" t="s">
        <v>38</v>
      </c>
      <c r="E121" t="s">
        <v>57</v>
      </c>
      <c r="F121">
        <v>0.85373694079828499</v>
      </c>
      <c r="G121">
        <v>0.83313621668814397</v>
      </c>
      <c r="H121">
        <v>0.81947503077525996</v>
      </c>
      <c r="I121">
        <v>0.80580855543104701</v>
      </c>
      <c r="J121">
        <v>0.51905850207086901</v>
      </c>
      <c r="K121">
        <v>0.40718104178125503</v>
      </c>
      <c r="P121" t="s">
        <v>14</v>
      </c>
      <c r="Q121">
        <v>0.85370083907561001</v>
      </c>
      <c r="R121" t="s">
        <v>51</v>
      </c>
    </row>
    <row r="122" spans="1:18" x14ac:dyDescent="0.25">
      <c r="A122" t="s">
        <v>8</v>
      </c>
      <c r="B122" t="s">
        <v>8</v>
      </c>
      <c r="C122" t="s">
        <v>37</v>
      </c>
      <c r="D122" t="s">
        <v>38</v>
      </c>
      <c r="E122" t="s">
        <v>57</v>
      </c>
      <c r="F122">
        <v>0.98965632069868603</v>
      </c>
      <c r="G122">
        <v>0.83313655340449</v>
      </c>
      <c r="H122">
        <v>0.81947429374478198</v>
      </c>
      <c r="I122">
        <v>0.79008994145212097</v>
      </c>
      <c r="J122">
        <v>0.52842502903677602</v>
      </c>
      <c r="K122">
        <v>0.40591595577601502</v>
      </c>
      <c r="P122" t="s">
        <v>44</v>
      </c>
      <c r="Q122">
        <v>0.74259016467831496</v>
      </c>
      <c r="R122" t="s">
        <v>53</v>
      </c>
    </row>
    <row r="123" spans="1:18" x14ac:dyDescent="0.25">
      <c r="A123" t="s">
        <v>8</v>
      </c>
      <c r="B123" t="s">
        <v>8</v>
      </c>
      <c r="C123" t="s">
        <v>37</v>
      </c>
      <c r="D123" t="s">
        <v>38</v>
      </c>
      <c r="E123" t="s">
        <v>57</v>
      </c>
      <c r="F123">
        <v>1.9241255917398601</v>
      </c>
      <c r="G123">
        <v>0.833139590290917</v>
      </c>
      <c r="H123">
        <v>0.81947582811415998</v>
      </c>
      <c r="I123">
        <v>0.80580934677206795</v>
      </c>
      <c r="J123">
        <v>0.62776180339771803</v>
      </c>
      <c r="K123">
        <v>0.42009689561346503</v>
      </c>
      <c r="P123" t="s">
        <v>45</v>
      </c>
      <c r="Q123">
        <v>1.6380349281319999</v>
      </c>
      <c r="R123" t="s">
        <v>54</v>
      </c>
    </row>
    <row r="124" spans="1:18" x14ac:dyDescent="0.25">
      <c r="A124" t="s">
        <v>8</v>
      </c>
      <c r="B124" t="s">
        <v>8</v>
      </c>
      <c r="C124" t="s">
        <v>37</v>
      </c>
      <c r="D124" t="s">
        <v>38</v>
      </c>
      <c r="E124" t="s">
        <v>57</v>
      </c>
      <c r="F124">
        <v>1.4998293333333299</v>
      </c>
      <c r="G124">
        <v>1.06738230764079</v>
      </c>
      <c r="H124">
        <v>1.0808468337621799</v>
      </c>
      <c r="I124">
        <v>1.0532982965161599</v>
      </c>
      <c r="J124">
        <v>0.57200337872544404</v>
      </c>
      <c r="K124">
        <v>0.65569059335848601</v>
      </c>
      <c r="P124" t="s">
        <v>15</v>
      </c>
      <c r="Q124">
        <v>1.4638212402893001</v>
      </c>
      <c r="R124" t="s">
        <v>51</v>
      </c>
    </row>
    <row r="125" spans="1:18" x14ac:dyDescent="0.25">
      <c r="A125" t="s">
        <v>8</v>
      </c>
      <c r="B125" t="s">
        <v>8</v>
      </c>
      <c r="C125" t="s">
        <v>37</v>
      </c>
      <c r="D125" t="s">
        <v>38</v>
      </c>
      <c r="E125" t="s">
        <v>57</v>
      </c>
      <c r="F125">
        <v>1.72261802332488</v>
      </c>
      <c r="G125">
        <v>1.1408541885793599</v>
      </c>
      <c r="H125">
        <v>1.14077863830423</v>
      </c>
      <c r="I125">
        <v>0.95684317328929702</v>
      </c>
      <c r="J125">
        <v>0.71960497196733697</v>
      </c>
      <c r="K125">
        <v>0.69598621153892304</v>
      </c>
      <c r="P125" t="s">
        <v>46</v>
      </c>
      <c r="Q125">
        <v>1.1230322879797601</v>
      </c>
      <c r="R125" t="s">
        <v>53</v>
      </c>
    </row>
    <row r="126" spans="1:18" x14ac:dyDescent="0.25">
      <c r="A126" t="s">
        <v>8</v>
      </c>
      <c r="B126" t="s">
        <v>8</v>
      </c>
      <c r="C126" t="s">
        <v>37</v>
      </c>
      <c r="D126" t="s">
        <v>38</v>
      </c>
      <c r="E126" t="s">
        <v>57</v>
      </c>
      <c r="F126">
        <v>3.4057619783616602</v>
      </c>
      <c r="G126">
        <v>1.39822164344292</v>
      </c>
      <c r="H126">
        <v>1.4635054447270099</v>
      </c>
      <c r="I126">
        <v>1.1141219862420999</v>
      </c>
      <c r="J126">
        <v>1.0109147542407699</v>
      </c>
      <c r="K126">
        <v>0.91113334015749803</v>
      </c>
      <c r="P126" t="s">
        <v>47</v>
      </c>
      <c r="Q126">
        <v>2.8232182005123998</v>
      </c>
      <c r="R126" t="s">
        <v>54</v>
      </c>
    </row>
    <row r="127" spans="1:18" x14ac:dyDescent="0.25">
      <c r="A127" t="s">
        <v>8</v>
      </c>
      <c r="B127" t="s">
        <v>8</v>
      </c>
      <c r="C127" t="s">
        <v>37</v>
      </c>
      <c r="D127" t="s">
        <v>38</v>
      </c>
      <c r="E127" t="s">
        <v>57</v>
      </c>
      <c r="P127" t="s">
        <v>48</v>
      </c>
      <c r="Q127">
        <v>1.1230322879797601</v>
      </c>
      <c r="R127" t="s">
        <v>64</v>
      </c>
    </row>
    <row r="128" spans="1:18" x14ac:dyDescent="0.25">
      <c r="A128" t="s">
        <v>8</v>
      </c>
      <c r="B128" t="s">
        <v>8</v>
      </c>
      <c r="C128" t="s">
        <v>37</v>
      </c>
      <c r="D128" t="s">
        <v>38</v>
      </c>
      <c r="E128" t="s">
        <v>57</v>
      </c>
      <c r="P128" t="s">
        <v>49</v>
      </c>
      <c r="Q128">
        <v>1.4638212402893001</v>
      </c>
      <c r="R128" t="s">
        <v>64</v>
      </c>
    </row>
    <row r="129" spans="1:18" x14ac:dyDescent="0.25">
      <c r="A129" t="s">
        <v>8</v>
      </c>
      <c r="B129" t="s">
        <v>8</v>
      </c>
      <c r="C129" t="s">
        <v>37</v>
      </c>
      <c r="D129" t="s">
        <v>38</v>
      </c>
      <c r="E129" t="s">
        <v>57</v>
      </c>
      <c r="P129" t="s">
        <v>65</v>
      </c>
      <c r="Q129">
        <v>2.8232182005123998</v>
      </c>
      <c r="R129" t="s">
        <v>64</v>
      </c>
    </row>
    <row r="130" spans="1:18" x14ac:dyDescent="0.25">
      <c r="A130" t="s">
        <v>36</v>
      </c>
      <c r="B130" t="s">
        <v>5</v>
      </c>
      <c r="C130" t="s">
        <v>66</v>
      </c>
      <c r="D130" t="s">
        <v>67</v>
      </c>
      <c r="E130" t="s">
        <v>58</v>
      </c>
      <c r="F130">
        <v>0.30486141509433901</v>
      </c>
      <c r="G130">
        <v>0.27793443396226403</v>
      </c>
      <c r="H130">
        <v>0.21541584905660299</v>
      </c>
      <c r="I130">
        <v>0.17329245283018799</v>
      </c>
      <c r="J130">
        <v>0.17329245283018799</v>
      </c>
      <c r="K130">
        <v>0.135834622641509</v>
      </c>
      <c r="L130">
        <v>0.113173301886792</v>
      </c>
      <c r="M130">
        <v>0.113173301886792</v>
      </c>
      <c r="N130">
        <v>0.113173301886792</v>
      </c>
      <c r="O130">
        <v>0.113173301886792</v>
      </c>
      <c r="P130" t="s">
        <v>29</v>
      </c>
      <c r="R130" t="s">
        <v>61</v>
      </c>
    </row>
    <row r="131" spans="1:18" x14ac:dyDescent="0.25">
      <c r="A131" t="s">
        <v>5</v>
      </c>
      <c r="B131" t="s">
        <v>5</v>
      </c>
      <c r="C131" t="s">
        <v>66</v>
      </c>
      <c r="D131" t="s">
        <v>67</v>
      </c>
      <c r="E131" t="s">
        <v>58</v>
      </c>
      <c r="F131">
        <v>0.79556490154846005</v>
      </c>
      <c r="G131">
        <v>0.187058888500266</v>
      </c>
      <c r="H131">
        <v>0.15181992200757899</v>
      </c>
      <c r="I131">
        <v>0.12279146714351399</v>
      </c>
      <c r="J131">
        <v>0.13038915944611301</v>
      </c>
      <c r="K131">
        <v>0.12717668373523999</v>
      </c>
      <c r="L131">
        <v>9.0919738110150805E-2</v>
      </c>
      <c r="M131">
        <v>7.9508571468543898E-2</v>
      </c>
      <c r="N131">
        <v>5.6947671287676999E-2</v>
      </c>
      <c r="O131">
        <v>4.0547409576809301E-2</v>
      </c>
      <c r="P131" t="s">
        <v>12</v>
      </c>
      <c r="Q131">
        <v>0.14447562453651799</v>
      </c>
      <c r="R131" t="s">
        <v>51</v>
      </c>
    </row>
    <row r="132" spans="1:18" x14ac:dyDescent="0.25">
      <c r="A132" t="s">
        <v>5</v>
      </c>
      <c r="B132" t="s">
        <v>5</v>
      </c>
      <c r="C132" t="s">
        <v>66</v>
      </c>
      <c r="D132" t="s">
        <v>67</v>
      </c>
      <c r="E132" t="s">
        <v>58</v>
      </c>
      <c r="F132">
        <v>0.952691633374527</v>
      </c>
      <c r="G132">
        <v>0.30591915336977898</v>
      </c>
      <c r="H132">
        <v>0.18338925148017099</v>
      </c>
      <c r="I132">
        <v>0.14579704681157399</v>
      </c>
      <c r="J132">
        <v>0.132264747408566</v>
      </c>
      <c r="K132">
        <v>0.128827390881706</v>
      </c>
      <c r="L132">
        <v>6.9203563445172006E-2</v>
      </c>
      <c r="M132">
        <v>7.5712576876667104E-2</v>
      </c>
      <c r="N132">
        <v>5.6947671287676999E-2</v>
      </c>
      <c r="O132">
        <v>4.2509228195158899E-2</v>
      </c>
      <c r="P132" t="s">
        <v>40</v>
      </c>
      <c r="Q132">
        <v>8.7165938556184E-2</v>
      </c>
      <c r="R132" t="s">
        <v>53</v>
      </c>
    </row>
    <row r="133" spans="1:18" x14ac:dyDescent="0.25">
      <c r="A133" t="s">
        <v>5</v>
      </c>
      <c r="B133" t="s">
        <v>5</v>
      </c>
      <c r="C133" t="s">
        <v>66</v>
      </c>
      <c r="D133" t="s">
        <v>67</v>
      </c>
      <c r="E133" t="s">
        <v>58</v>
      </c>
      <c r="F133">
        <v>6.2669673055242301</v>
      </c>
      <c r="G133">
        <v>0.24290969502788601</v>
      </c>
      <c r="H133">
        <v>0.18239340089134301</v>
      </c>
      <c r="I133">
        <v>0.175332403641589</v>
      </c>
      <c r="J133">
        <v>0.16597382571295199</v>
      </c>
      <c r="K133">
        <v>0.16767483176478401</v>
      </c>
      <c r="L133">
        <v>9.3321991426670206E-2</v>
      </c>
      <c r="M133">
        <v>8.8046637440327494E-2</v>
      </c>
      <c r="N133">
        <v>5.6947671287676999E-2</v>
      </c>
      <c r="O133">
        <v>4.3317384877397003E-2</v>
      </c>
      <c r="P133" t="s">
        <v>41</v>
      </c>
      <c r="Q133">
        <v>0.29825821511941097</v>
      </c>
      <c r="R133" t="s">
        <v>54</v>
      </c>
    </row>
    <row r="134" spans="1:18" x14ac:dyDescent="0.25">
      <c r="A134" t="s">
        <v>5</v>
      </c>
      <c r="B134" t="s">
        <v>5</v>
      </c>
      <c r="C134" t="s">
        <v>66</v>
      </c>
      <c r="D134" t="s">
        <v>67</v>
      </c>
      <c r="E134" t="s">
        <v>58</v>
      </c>
      <c r="F134">
        <v>0.95032944754181303</v>
      </c>
      <c r="G134">
        <v>0.19364281224746199</v>
      </c>
      <c r="H134">
        <v>0.134457412616658</v>
      </c>
      <c r="I134">
        <v>0.121438422522368</v>
      </c>
      <c r="J134">
        <v>0.114064913883796</v>
      </c>
      <c r="K134">
        <v>9.7740890298348204E-2</v>
      </c>
      <c r="L134">
        <v>9.2251857492248401E-2</v>
      </c>
      <c r="M134">
        <v>8.5571969594803496E-2</v>
      </c>
      <c r="N134">
        <v>5.6947671287676999E-2</v>
      </c>
      <c r="O134">
        <v>4.0547409576809301E-2</v>
      </c>
      <c r="P134" t="s">
        <v>13</v>
      </c>
      <c r="Q134">
        <v>0.15588401222647699</v>
      </c>
      <c r="R134" t="s">
        <v>51</v>
      </c>
    </row>
    <row r="135" spans="1:18" x14ac:dyDescent="0.25">
      <c r="A135" t="s">
        <v>5</v>
      </c>
      <c r="B135" t="s">
        <v>5</v>
      </c>
      <c r="C135" t="s">
        <v>66</v>
      </c>
      <c r="D135" t="s">
        <v>67</v>
      </c>
      <c r="E135" t="s">
        <v>58</v>
      </c>
      <c r="F135">
        <v>0.88466843103118298</v>
      </c>
      <c r="G135">
        <v>0.28491616149349902</v>
      </c>
      <c r="H135">
        <v>0.151960990310361</v>
      </c>
      <c r="I135">
        <v>0.144481625795397</v>
      </c>
      <c r="J135">
        <v>0.119161660566555</v>
      </c>
      <c r="K135">
        <v>0.119489400909744</v>
      </c>
      <c r="L135">
        <v>9.7463713981412695E-2</v>
      </c>
      <c r="M135">
        <v>9.2573247838201395E-2</v>
      </c>
      <c r="N135">
        <v>5.6947671287676999E-2</v>
      </c>
      <c r="O135">
        <v>4.2509228195158899E-2</v>
      </c>
      <c r="P135" t="s">
        <v>42</v>
      </c>
      <c r="Q135">
        <v>9.7703148710803406E-2</v>
      </c>
      <c r="R135" t="s">
        <v>53</v>
      </c>
    </row>
    <row r="136" spans="1:18" x14ac:dyDescent="0.25">
      <c r="A136" t="s">
        <v>5</v>
      </c>
      <c r="B136" t="s">
        <v>5</v>
      </c>
      <c r="C136" t="s">
        <v>66</v>
      </c>
      <c r="D136" t="s">
        <v>67</v>
      </c>
      <c r="E136" t="s">
        <v>58</v>
      </c>
      <c r="F136">
        <v>2.50542842826122</v>
      </c>
      <c r="G136">
        <v>0.25562728392851303</v>
      </c>
      <c r="H136">
        <v>0.176442845885212</v>
      </c>
      <c r="I136">
        <v>0.17379273172076401</v>
      </c>
      <c r="J136">
        <v>0.161817778533066</v>
      </c>
      <c r="K136">
        <v>0.16495978759602001</v>
      </c>
      <c r="L136">
        <v>9.3322140962041694E-2</v>
      </c>
      <c r="M136">
        <v>9.5470640976899598E-2</v>
      </c>
      <c r="N136">
        <v>5.6947671287676999E-2</v>
      </c>
      <c r="O136">
        <v>4.3317384877397003E-2</v>
      </c>
      <c r="P136" t="s">
        <v>43</v>
      </c>
      <c r="Q136">
        <v>0.60285927542056605</v>
      </c>
      <c r="R136" t="s">
        <v>54</v>
      </c>
    </row>
    <row r="137" spans="1:18" x14ac:dyDescent="0.25">
      <c r="A137" t="s">
        <v>5</v>
      </c>
      <c r="B137" t="s">
        <v>5</v>
      </c>
      <c r="C137" t="s">
        <v>66</v>
      </c>
      <c r="D137" t="s">
        <v>67</v>
      </c>
      <c r="E137" t="s">
        <v>58</v>
      </c>
      <c r="F137">
        <v>1.3589073634204201</v>
      </c>
      <c r="G137">
        <v>0.25014191586416501</v>
      </c>
      <c r="H137">
        <v>0.19387480993410899</v>
      </c>
      <c r="I137">
        <v>0.155964060199763</v>
      </c>
      <c r="J137">
        <v>0.15596296524515799</v>
      </c>
      <c r="K137">
        <v>0.122251600034571</v>
      </c>
      <c r="L137">
        <v>0.10185592309937</v>
      </c>
      <c r="M137">
        <v>0.101856061912124</v>
      </c>
      <c r="N137">
        <v>7.7045034116454705E-2</v>
      </c>
      <c r="O137">
        <v>6.7400470026905704E-2</v>
      </c>
      <c r="P137" t="s">
        <v>14</v>
      </c>
      <c r="Q137">
        <v>0.161562341611758</v>
      </c>
      <c r="R137" t="s">
        <v>51</v>
      </c>
    </row>
    <row r="138" spans="1:18" x14ac:dyDescent="0.25">
      <c r="A138" t="s">
        <v>5</v>
      </c>
      <c r="B138" t="s">
        <v>5</v>
      </c>
      <c r="C138" t="s">
        <v>66</v>
      </c>
      <c r="D138" t="s">
        <v>67</v>
      </c>
      <c r="E138" t="s">
        <v>58</v>
      </c>
      <c r="F138">
        <v>0.79544056667615803</v>
      </c>
      <c r="G138">
        <v>0.250141768417601</v>
      </c>
      <c r="H138">
        <v>0.19387460804696799</v>
      </c>
      <c r="I138">
        <v>0.15596374271932001</v>
      </c>
      <c r="J138">
        <v>0.15596296652723399</v>
      </c>
      <c r="K138">
        <v>0.122251449249677</v>
      </c>
      <c r="L138">
        <v>0.10185589874336699</v>
      </c>
      <c r="M138">
        <v>0.10170156557578799</v>
      </c>
      <c r="N138">
        <v>7.7045034116454705E-2</v>
      </c>
      <c r="O138">
        <v>6.7208291156459099E-2</v>
      </c>
      <c r="P138" t="s">
        <v>44</v>
      </c>
      <c r="Q138">
        <v>0.10028924667226501</v>
      </c>
      <c r="R138" t="s">
        <v>53</v>
      </c>
    </row>
    <row r="139" spans="1:18" x14ac:dyDescent="0.25">
      <c r="A139" t="s">
        <v>5</v>
      </c>
      <c r="B139" t="s">
        <v>5</v>
      </c>
      <c r="C139" t="s">
        <v>66</v>
      </c>
      <c r="D139" t="s">
        <v>67</v>
      </c>
      <c r="E139" t="s">
        <v>58</v>
      </c>
      <c r="F139">
        <v>3.4862888482632401</v>
      </c>
      <c r="G139">
        <v>0.250145274312082</v>
      </c>
      <c r="H139">
        <v>0.19387656271555401</v>
      </c>
      <c r="I139">
        <v>0.15596485057416001</v>
      </c>
      <c r="J139">
        <v>0.155963570152827</v>
      </c>
      <c r="K139">
        <v>0.12225171910923199</v>
      </c>
      <c r="L139">
        <v>0.101856062702816</v>
      </c>
      <c r="M139">
        <v>0.101856158416985</v>
      </c>
      <c r="N139">
        <v>7.7045034116454705E-2</v>
      </c>
      <c r="O139">
        <v>6.76718155628553E-2</v>
      </c>
      <c r="P139" t="s">
        <v>45</v>
      </c>
      <c r="Q139">
        <v>0.31980546704678797</v>
      </c>
      <c r="R139" t="s">
        <v>54</v>
      </c>
    </row>
    <row r="140" spans="1:18" x14ac:dyDescent="0.25">
      <c r="A140" t="s">
        <v>5</v>
      </c>
      <c r="B140" t="s">
        <v>5</v>
      </c>
      <c r="C140" t="s">
        <v>66</v>
      </c>
      <c r="D140" t="s">
        <v>67</v>
      </c>
      <c r="E140" t="s">
        <v>58</v>
      </c>
      <c r="F140">
        <v>1.44044180522564</v>
      </c>
      <c r="G140">
        <v>0.26515043081601503</v>
      </c>
      <c r="H140">
        <v>0.20550729853015601</v>
      </c>
      <c r="I140">
        <v>0.16532190381174899</v>
      </c>
      <c r="J140">
        <v>0.165320743159868</v>
      </c>
      <c r="K140">
        <v>0.134807284759354</v>
      </c>
      <c r="L140">
        <v>0.107967278485332</v>
      </c>
      <c r="M140">
        <v>0.10796742562685099</v>
      </c>
      <c r="N140">
        <v>8.1667736163442001E-2</v>
      </c>
      <c r="O140">
        <v>7.1444498228520101E-2</v>
      </c>
      <c r="P140" t="s">
        <v>15</v>
      </c>
      <c r="Q140">
        <v>0.17125608210846299</v>
      </c>
      <c r="R140" t="s">
        <v>51</v>
      </c>
    </row>
    <row r="141" spans="1:18" x14ac:dyDescent="0.25">
      <c r="A141" t="s">
        <v>5</v>
      </c>
      <c r="B141" t="s">
        <v>5</v>
      </c>
      <c r="C141" t="s">
        <v>66</v>
      </c>
      <c r="D141" t="s">
        <v>67</v>
      </c>
      <c r="E141" t="s">
        <v>58</v>
      </c>
      <c r="F141">
        <v>1.0098531313769901</v>
      </c>
      <c r="G141">
        <v>0.32427430257196599</v>
      </c>
      <c r="H141">
        <v>0.205507084529786</v>
      </c>
      <c r="I141">
        <v>0.16532156728247899</v>
      </c>
      <c r="J141">
        <v>0.165320744518868</v>
      </c>
      <c r="K141">
        <v>0.136557034334609</v>
      </c>
      <c r="L141">
        <v>0.107967252667969</v>
      </c>
      <c r="M141">
        <v>0.10780365951033501</v>
      </c>
      <c r="N141">
        <v>8.1667736163442001E-2</v>
      </c>
      <c r="O141">
        <v>7.1240788625846596E-2</v>
      </c>
      <c r="P141" t="s">
        <v>46</v>
      </c>
      <c r="Q141">
        <v>0.106306601472601</v>
      </c>
      <c r="R141" t="s">
        <v>53</v>
      </c>
    </row>
    <row r="142" spans="1:18" x14ac:dyDescent="0.25">
      <c r="A142" t="s">
        <v>5</v>
      </c>
      <c r="B142" t="s">
        <v>5</v>
      </c>
      <c r="C142" t="s">
        <v>66</v>
      </c>
      <c r="D142" t="s">
        <v>67</v>
      </c>
      <c r="E142" t="s">
        <v>58</v>
      </c>
      <c r="F142">
        <v>6.6429853438556901</v>
      </c>
      <c r="G142">
        <v>0.27096492096422398</v>
      </c>
      <c r="H142">
        <v>0.205509156478487</v>
      </c>
      <c r="I142">
        <v>0.18585234786008401</v>
      </c>
      <c r="J142">
        <v>0.17593225525573</v>
      </c>
      <c r="K142">
        <v>0.17773532167067099</v>
      </c>
      <c r="L142">
        <v>0.107967426464985</v>
      </c>
      <c r="M142">
        <v>0.10796752792200399</v>
      </c>
      <c r="N142">
        <v>8.1667736163442001E-2</v>
      </c>
      <c r="O142">
        <v>7.1732124496626595E-2</v>
      </c>
      <c r="P142" t="s">
        <v>47</v>
      </c>
      <c r="Q142">
        <v>0.63903083194580002</v>
      </c>
      <c r="R142" t="s">
        <v>54</v>
      </c>
    </row>
    <row r="143" spans="1:18" x14ac:dyDescent="0.25">
      <c r="A143" t="s">
        <v>5</v>
      </c>
      <c r="B143" t="s">
        <v>5</v>
      </c>
      <c r="C143" t="s">
        <v>66</v>
      </c>
      <c r="D143" t="s">
        <v>67</v>
      </c>
      <c r="E143" t="s">
        <v>58</v>
      </c>
      <c r="P143" t="s">
        <v>48</v>
      </c>
      <c r="Q143">
        <v>0.106306601472601</v>
      </c>
      <c r="R143" t="s">
        <v>64</v>
      </c>
    </row>
    <row r="144" spans="1:18" x14ac:dyDescent="0.25">
      <c r="A144" t="s">
        <v>5</v>
      </c>
      <c r="B144" t="s">
        <v>5</v>
      </c>
      <c r="C144" t="s">
        <v>66</v>
      </c>
      <c r="D144" t="s">
        <v>67</v>
      </c>
      <c r="E144" t="s">
        <v>58</v>
      </c>
      <c r="P144" t="s">
        <v>49</v>
      </c>
      <c r="Q144">
        <v>0.17125608210846299</v>
      </c>
      <c r="R144" t="s">
        <v>64</v>
      </c>
    </row>
    <row r="145" spans="1:18" x14ac:dyDescent="0.25">
      <c r="A145" t="s">
        <v>5</v>
      </c>
      <c r="B145" t="s">
        <v>5</v>
      </c>
      <c r="C145" t="s">
        <v>66</v>
      </c>
      <c r="D145" t="s">
        <v>67</v>
      </c>
      <c r="E145" t="s">
        <v>58</v>
      </c>
      <c r="P145" t="s">
        <v>65</v>
      </c>
      <c r="Q145">
        <v>0.63903083194580002</v>
      </c>
      <c r="R145" t="s">
        <v>64</v>
      </c>
    </row>
    <row r="146" spans="1:18" x14ac:dyDescent="0.25">
      <c r="A146" t="s">
        <v>69</v>
      </c>
      <c r="B146" t="s">
        <v>6</v>
      </c>
      <c r="C146" t="s">
        <v>66</v>
      </c>
      <c r="D146" t="s">
        <v>67</v>
      </c>
      <c r="E146" t="s">
        <v>58</v>
      </c>
      <c r="F146">
        <v>0.16316150943396199</v>
      </c>
      <c r="G146">
        <v>0.148631603773584</v>
      </c>
      <c r="H146">
        <v>0.110507264150943</v>
      </c>
      <c r="I146">
        <v>8.3446981132075396E-2</v>
      </c>
      <c r="J146">
        <v>8.3446981132075396E-2</v>
      </c>
      <c r="K146">
        <v>6.6251037735849005E-2</v>
      </c>
      <c r="L146">
        <v>5.6120094339622603E-2</v>
      </c>
      <c r="M146">
        <v>5.6120094339622603E-2</v>
      </c>
      <c r="N146">
        <v>5.6120094339622603E-2</v>
      </c>
      <c r="O146">
        <v>5.6120094339622603E-2</v>
      </c>
      <c r="P146" t="s">
        <v>29</v>
      </c>
      <c r="R146" t="s">
        <v>61</v>
      </c>
    </row>
    <row r="147" spans="1:18" x14ac:dyDescent="0.25">
      <c r="A147" t="s">
        <v>6</v>
      </c>
      <c r="B147" t="s">
        <v>6</v>
      </c>
      <c r="C147" t="s">
        <v>66</v>
      </c>
      <c r="D147" t="s">
        <v>67</v>
      </c>
      <c r="E147" t="s">
        <v>58</v>
      </c>
      <c r="F147">
        <v>0.46025128237725099</v>
      </c>
      <c r="G147">
        <v>0.19770926579744699</v>
      </c>
      <c r="H147">
        <v>0.11733574071551101</v>
      </c>
      <c r="I147">
        <v>8.1503201184542504E-2</v>
      </c>
      <c r="J147">
        <v>6.4695637236423201E-2</v>
      </c>
      <c r="K147">
        <v>6.4615875253849597E-2</v>
      </c>
      <c r="L147">
        <v>4.57318945617975E-2</v>
      </c>
      <c r="M147">
        <v>4.1565234825621897E-2</v>
      </c>
      <c r="N147">
        <v>4.1744732603622201E-2</v>
      </c>
      <c r="O147">
        <v>1.7863470948220501E-2</v>
      </c>
      <c r="P147" t="s">
        <v>12</v>
      </c>
      <c r="Q147">
        <v>0.149805295861421</v>
      </c>
      <c r="R147" t="s">
        <v>51</v>
      </c>
    </row>
    <row r="148" spans="1:18" x14ac:dyDescent="0.25">
      <c r="A148" t="s">
        <v>6</v>
      </c>
      <c r="B148" t="s">
        <v>6</v>
      </c>
      <c r="C148" t="s">
        <v>66</v>
      </c>
      <c r="D148" t="s">
        <v>67</v>
      </c>
      <c r="E148" t="s">
        <v>58</v>
      </c>
      <c r="F148">
        <v>0.48031911023270801</v>
      </c>
      <c r="G148">
        <v>0.20337994852616501</v>
      </c>
      <c r="H148">
        <v>0.12780867993200901</v>
      </c>
      <c r="I148">
        <v>7.5150259484249804E-2</v>
      </c>
      <c r="J148">
        <v>0.10077249793335399</v>
      </c>
      <c r="K148">
        <v>6.67193765424898E-2</v>
      </c>
      <c r="L148">
        <v>4.5307985801347497E-2</v>
      </c>
      <c r="M148">
        <v>4.2934841056181602E-2</v>
      </c>
      <c r="N148">
        <v>3.3084366325931001E-2</v>
      </c>
      <c r="O148">
        <v>1.8944608287461299E-2</v>
      </c>
      <c r="P148" t="s">
        <v>40</v>
      </c>
      <c r="Q148">
        <v>5.0975076288559101E-2</v>
      </c>
      <c r="R148" t="s">
        <v>53</v>
      </c>
    </row>
    <row r="149" spans="1:18" x14ac:dyDescent="0.25">
      <c r="A149" t="s">
        <v>6</v>
      </c>
      <c r="B149" t="s">
        <v>6</v>
      </c>
      <c r="C149" t="s">
        <v>66</v>
      </c>
      <c r="D149" t="s">
        <v>67</v>
      </c>
      <c r="E149" t="s">
        <v>58</v>
      </c>
      <c r="F149">
        <v>0.60925769168268495</v>
      </c>
      <c r="G149">
        <v>0.224475289011933</v>
      </c>
      <c r="H149">
        <v>0.141422995220152</v>
      </c>
      <c r="I149">
        <v>8.43922522691119E-2</v>
      </c>
      <c r="J149">
        <v>0.11431633443801401</v>
      </c>
      <c r="K149">
        <v>9.4919170479946705E-2</v>
      </c>
      <c r="L149">
        <v>5.7006597875603797E-2</v>
      </c>
      <c r="M149">
        <v>5.0760996385001998E-2</v>
      </c>
      <c r="N149">
        <v>4.1744732603622201E-2</v>
      </c>
      <c r="O149">
        <v>2.1698190357766298E-2</v>
      </c>
      <c r="P149" t="s">
        <v>41</v>
      </c>
      <c r="Q149">
        <v>0.31460460613799601</v>
      </c>
      <c r="R149" t="s">
        <v>54</v>
      </c>
    </row>
    <row r="150" spans="1:18" x14ac:dyDescent="0.25">
      <c r="A150" t="s">
        <v>6</v>
      </c>
      <c r="B150" t="s">
        <v>6</v>
      </c>
      <c r="C150" t="s">
        <v>66</v>
      </c>
      <c r="D150" t="s">
        <v>67</v>
      </c>
      <c r="E150" t="s">
        <v>58</v>
      </c>
      <c r="F150">
        <v>0.42338313105299402</v>
      </c>
      <c r="G150">
        <v>0.16921104756303801</v>
      </c>
      <c r="H150">
        <v>9.8903736113038307E-2</v>
      </c>
      <c r="I150">
        <v>8.2826129154119799E-2</v>
      </c>
      <c r="J150">
        <v>5.0886082768899998E-2</v>
      </c>
      <c r="K150">
        <v>5.38428927324432E-2</v>
      </c>
      <c r="L150">
        <v>4.8262914739875498E-2</v>
      </c>
      <c r="M150">
        <v>3.6496248811887802E-2</v>
      </c>
      <c r="N150">
        <v>5.0874540783484599E-2</v>
      </c>
      <c r="O150">
        <v>2.1698190357766298E-2</v>
      </c>
      <c r="P150" t="s">
        <v>13</v>
      </c>
      <c r="Q150">
        <v>0.163261053042349</v>
      </c>
      <c r="R150" t="s">
        <v>51</v>
      </c>
    </row>
    <row r="151" spans="1:18" x14ac:dyDescent="0.25">
      <c r="A151" t="s">
        <v>6</v>
      </c>
      <c r="B151" t="s">
        <v>6</v>
      </c>
      <c r="C151" t="s">
        <v>66</v>
      </c>
      <c r="D151" t="s">
        <v>67</v>
      </c>
      <c r="E151" t="s">
        <v>58</v>
      </c>
      <c r="F151">
        <v>0.44183633142600398</v>
      </c>
      <c r="G151">
        <v>0.18236329335061299</v>
      </c>
      <c r="H151">
        <v>0.12095326434338401</v>
      </c>
      <c r="I151">
        <v>0.11252519541278901</v>
      </c>
      <c r="J151">
        <v>0.146635481929037</v>
      </c>
      <c r="K151">
        <v>6.6683378603466403E-2</v>
      </c>
      <c r="L151">
        <v>5.3204191292080899E-2</v>
      </c>
      <c r="M151">
        <v>3.6583972766628003E-2</v>
      </c>
      <c r="N151">
        <v>9.5653810153533095E-2</v>
      </c>
      <c r="O151">
        <v>5.34535254289994E-2</v>
      </c>
      <c r="P151" t="s">
        <v>42</v>
      </c>
      <c r="Q151">
        <v>7.5382570265004098E-2</v>
      </c>
      <c r="R151" t="s">
        <v>53</v>
      </c>
    </row>
    <row r="152" spans="1:18" x14ac:dyDescent="0.25">
      <c r="A152" t="s">
        <v>6</v>
      </c>
      <c r="B152" t="s">
        <v>6</v>
      </c>
      <c r="C152" t="s">
        <v>66</v>
      </c>
      <c r="D152" t="s">
        <v>67</v>
      </c>
      <c r="E152" t="s">
        <v>58</v>
      </c>
      <c r="F152">
        <v>0.75864909233419497</v>
      </c>
      <c r="G152">
        <v>0.218765998224666</v>
      </c>
      <c r="H152">
        <v>0.12754513744555401</v>
      </c>
      <c r="I152">
        <v>0.12807747289694901</v>
      </c>
      <c r="J152">
        <v>0.120259761083941</v>
      </c>
      <c r="K152">
        <v>0.10410130831449101</v>
      </c>
      <c r="L152">
        <v>6.2536910572306106E-2</v>
      </c>
      <c r="M152">
        <v>5.0498141076219798E-2</v>
      </c>
      <c r="N152">
        <v>0.15289740110630801</v>
      </c>
      <c r="O152">
        <v>4.3982094698403598E-2</v>
      </c>
      <c r="P152" t="s">
        <v>43</v>
      </c>
      <c r="Q152">
        <v>0.35453892430636602</v>
      </c>
      <c r="R152" t="s">
        <v>54</v>
      </c>
    </row>
    <row r="153" spans="1:18" x14ac:dyDescent="0.25">
      <c r="A153" t="s">
        <v>6</v>
      </c>
      <c r="B153" t="s">
        <v>6</v>
      </c>
      <c r="C153" t="s">
        <v>66</v>
      </c>
      <c r="D153" t="s">
        <v>67</v>
      </c>
      <c r="E153" t="s">
        <v>58</v>
      </c>
      <c r="F153">
        <v>0.60968721692332195</v>
      </c>
      <c r="G153">
        <v>0.164238448619862</v>
      </c>
      <c r="H153">
        <v>9.9457197108394305E-2</v>
      </c>
      <c r="I153">
        <v>7.51020479823028E-2</v>
      </c>
      <c r="J153">
        <v>7.5102615222235103E-2</v>
      </c>
      <c r="K153">
        <v>5.9625891520955702E-2</v>
      </c>
      <c r="L153">
        <v>4.9800768622880798E-2</v>
      </c>
      <c r="M153">
        <v>3.1319538203508697E-2</v>
      </c>
      <c r="N153">
        <v>2.4349517712207398E-2</v>
      </c>
      <c r="O153">
        <v>2.51175364523917E-2</v>
      </c>
      <c r="P153" t="s">
        <v>14</v>
      </c>
      <c r="Q153">
        <v>0.12943192481990901</v>
      </c>
      <c r="R153" t="s">
        <v>51</v>
      </c>
    </row>
    <row r="154" spans="1:18" x14ac:dyDescent="0.25">
      <c r="A154" t="s">
        <v>6</v>
      </c>
      <c r="B154" t="s">
        <v>6</v>
      </c>
      <c r="C154" t="s">
        <v>66</v>
      </c>
      <c r="D154" t="s">
        <v>67</v>
      </c>
      <c r="E154" t="s">
        <v>58</v>
      </c>
      <c r="F154">
        <v>0.55503239797235004</v>
      </c>
      <c r="G154">
        <v>0.16294516953881699</v>
      </c>
      <c r="H154">
        <v>0.100727415556504</v>
      </c>
      <c r="I154">
        <v>7.5101983344731796E-2</v>
      </c>
      <c r="J154">
        <v>7.51024088718623E-2</v>
      </c>
      <c r="K154">
        <v>5.9625874701025601E-2</v>
      </c>
      <c r="L154">
        <v>4.73868460465788E-2</v>
      </c>
      <c r="M154">
        <v>3.2911430995823297E-2</v>
      </c>
      <c r="N154">
        <v>2.38374351376936E-2</v>
      </c>
      <c r="O154">
        <v>2.5319484303545099E-2</v>
      </c>
      <c r="P154" t="s">
        <v>44</v>
      </c>
      <c r="Q154">
        <v>4.7113200942790798E-2</v>
      </c>
      <c r="R154" t="s">
        <v>53</v>
      </c>
    </row>
    <row r="155" spans="1:18" x14ac:dyDescent="0.25">
      <c r="A155" t="s">
        <v>6</v>
      </c>
      <c r="B155" t="s">
        <v>6</v>
      </c>
      <c r="C155" t="s">
        <v>66</v>
      </c>
      <c r="D155" t="s">
        <v>67</v>
      </c>
      <c r="E155" t="s">
        <v>58</v>
      </c>
      <c r="F155">
        <v>1.7370620239315899</v>
      </c>
      <c r="G155">
        <v>0.18502288126000399</v>
      </c>
      <c r="H155">
        <v>0.10161273134169301</v>
      </c>
      <c r="I155">
        <v>7.5102975310505901E-2</v>
      </c>
      <c r="J155">
        <v>7.5102956912075497E-2</v>
      </c>
      <c r="K155">
        <v>5.9626211340552598E-2</v>
      </c>
      <c r="L155">
        <v>5.05079371458289E-2</v>
      </c>
      <c r="M155">
        <v>3.4869675056612599E-2</v>
      </c>
      <c r="N155">
        <v>2.4349517712207398E-2</v>
      </c>
      <c r="O155">
        <v>2.6090595152033502E-2</v>
      </c>
      <c r="P155" t="s">
        <v>45</v>
      </c>
      <c r="Q155">
        <v>0.41048673448726702</v>
      </c>
      <c r="R155" t="s">
        <v>54</v>
      </c>
    </row>
    <row r="156" spans="1:18" x14ac:dyDescent="0.25">
      <c r="A156" t="s">
        <v>6</v>
      </c>
      <c r="B156" t="s">
        <v>6</v>
      </c>
      <c r="C156" t="s">
        <v>66</v>
      </c>
      <c r="D156" t="s">
        <v>67</v>
      </c>
      <c r="E156" t="s">
        <v>58</v>
      </c>
      <c r="F156">
        <v>0.64626844993872101</v>
      </c>
      <c r="G156">
        <v>0.20957182174529401</v>
      </c>
      <c r="H156">
        <v>0.124375885158441</v>
      </c>
      <c r="I156">
        <v>8.7795696903366999E-2</v>
      </c>
      <c r="J156">
        <v>7.96087721355693E-2</v>
      </c>
      <c r="K156">
        <v>6.8492827769080597E-2</v>
      </c>
      <c r="L156">
        <v>5.2788814740253598E-2</v>
      </c>
      <c r="M156">
        <v>4.4059148915159198E-2</v>
      </c>
      <c r="N156">
        <v>5.3927013230493703E-2</v>
      </c>
      <c r="O156">
        <v>2.66245886395352E-2</v>
      </c>
      <c r="P156" t="s">
        <v>15</v>
      </c>
      <c r="Q156">
        <v>0.173056716224889</v>
      </c>
      <c r="R156" t="s">
        <v>51</v>
      </c>
    </row>
    <row r="157" spans="1:18" x14ac:dyDescent="0.25">
      <c r="A157" t="s">
        <v>6</v>
      </c>
      <c r="B157" t="s">
        <v>6</v>
      </c>
      <c r="C157" t="s">
        <v>66</v>
      </c>
      <c r="D157" t="s">
        <v>67</v>
      </c>
      <c r="E157" t="s">
        <v>58</v>
      </c>
      <c r="F157">
        <v>0.588334341850691</v>
      </c>
      <c r="G157">
        <v>0.21558274543773501</v>
      </c>
      <c r="H157">
        <v>0.13547720072792899</v>
      </c>
      <c r="I157">
        <v>0.119276707137556</v>
      </c>
      <c r="J157">
        <v>0.15543361084478</v>
      </c>
      <c r="K157">
        <v>7.0722539135039203E-2</v>
      </c>
      <c r="L157">
        <v>5.6396442769605801E-2</v>
      </c>
      <c r="M157">
        <v>4.5510931519552503E-2</v>
      </c>
      <c r="N157">
        <v>0.101393038762745</v>
      </c>
      <c r="O157">
        <v>5.6660736954739298E-2</v>
      </c>
      <c r="P157" t="s">
        <v>46</v>
      </c>
      <c r="Q157">
        <v>7.9905524480904294E-2</v>
      </c>
      <c r="R157" t="s">
        <v>53</v>
      </c>
    </row>
    <row r="158" spans="1:18" x14ac:dyDescent="0.25">
      <c r="A158" t="s">
        <v>6</v>
      </c>
      <c r="B158" t="s">
        <v>6</v>
      </c>
      <c r="C158" t="s">
        <v>66</v>
      </c>
      <c r="D158" t="s">
        <v>67</v>
      </c>
      <c r="E158" t="s">
        <v>58</v>
      </c>
      <c r="F158">
        <v>1.84128574536748</v>
      </c>
      <c r="G158">
        <v>0.237943806352649</v>
      </c>
      <c r="H158">
        <v>0.14990837493336101</v>
      </c>
      <c r="I158">
        <v>0.13576212127076601</v>
      </c>
      <c r="J158">
        <v>0.12747534674897701</v>
      </c>
      <c r="K158">
        <v>0.110347386813361</v>
      </c>
      <c r="L158">
        <v>6.6289125206644497E-2</v>
      </c>
      <c r="M158">
        <v>5.3806656168102103E-2</v>
      </c>
      <c r="N158">
        <v>0.16207124517268601</v>
      </c>
      <c r="O158">
        <v>4.6621020380307798E-2</v>
      </c>
      <c r="P158" t="s">
        <v>47</v>
      </c>
      <c r="Q158">
        <v>0.43511593855650299</v>
      </c>
      <c r="R158" t="s">
        <v>54</v>
      </c>
    </row>
    <row r="159" spans="1:18" x14ac:dyDescent="0.25">
      <c r="A159" t="s">
        <v>6</v>
      </c>
      <c r="B159" t="s">
        <v>6</v>
      </c>
      <c r="C159" t="s">
        <v>66</v>
      </c>
      <c r="D159" t="s">
        <v>67</v>
      </c>
      <c r="E159" t="s">
        <v>58</v>
      </c>
      <c r="P159" t="s">
        <v>48</v>
      </c>
      <c r="Q159">
        <v>7.9905524480904294E-2</v>
      </c>
      <c r="R159" t="s">
        <v>64</v>
      </c>
    </row>
    <row r="160" spans="1:18" x14ac:dyDescent="0.25">
      <c r="A160" t="s">
        <v>6</v>
      </c>
      <c r="B160" t="s">
        <v>6</v>
      </c>
      <c r="C160" t="s">
        <v>66</v>
      </c>
      <c r="D160" t="s">
        <v>67</v>
      </c>
      <c r="E160" t="s">
        <v>58</v>
      </c>
      <c r="P160" t="s">
        <v>49</v>
      </c>
      <c r="Q160">
        <v>0.173056716224889</v>
      </c>
      <c r="R160" t="s">
        <v>64</v>
      </c>
    </row>
    <row r="161" spans="1:18" x14ac:dyDescent="0.25">
      <c r="A161" t="s">
        <v>6</v>
      </c>
      <c r="B161" t="s">
        <v>6</v>
      </c>
      <c r="C161" t="s">
        <v>66</v>
      </c>
      <c r="D161" t="s">
        <v>67</v>
      </c>
      <c r="E161" t="s">
        <v>58</v>
      </c>
      <c r="P161" t="s">
        <v>65</v>
      </c>
      <c r="Q161">
        <v>0.43511593855650299</v>
      </c>
      <c r="R161" t="s">
        <v>64</v>
      </c>
    </row>
    <row r="162" spans="1:18" x14ac:dyDescent="0.25">
      <c r="A162" t="s">
        <v>70</v>
      </c>
      <c r="B162" t="s">
        <v>7</v>
      </c>
      <c r="C162" t="s">
        <v>66</v>
      </c>
      <c r="D162" t="s">
        <v>67</v>
      </c>
      <c r="E162" t="s">
        <v>58</v>
      </c>
      <c r="F162">
        <v>0.33818688679245201</v>
      </c>
      <c r="G162">
        <v>0.30832726415094303</v>
      </c>
      <c r="H162">
        <v>0.23914358490566001</v>
      </c>
      <c r="I162">
        <v>0.19208801886792401</v>
      </c>
      <c r="J162">
        <v>0.19208801886792401</v>
      </c>
      <c r="K162">
        <v>0.15063113207547099</v>
      </c>
      <c r="L162">
        <v>0.12557037735849</v>
      </c>
      <c r="M162">
        <v>0.12557037735849</v>
      </c>
      <c r="N162">
        <v>0.12557037735849</v>
      </c>
      <c r="O162">
        <v>0.12557037735849</v>
      </c>
      <c r="P162" t="s">
        <v>29</v>
      </c>
      <c r="R162" t="s">
        <v>61</v>
      </c>
    </row>
    <row r="163" spans="1:18" x14ac:dyDescent="0.25">
      <c r="A163" t="s">
        <v>7</v>
      </c>
      <c r="B163" t="s">
        <v>7</v>
      </c>
      <c r="C163" t="s">
        <v>66</v>
      </c>
      <c r="D163" t="s">
        <v>67</v>
      </c>
      <c r="E163" t="s">
        <v>58</v>
      </c>
      <c r="F163">
        <v>0.330725872972228</v>
      </c>
      <c r="G163">
        <v>0.18577869069969499</v>
      </c>
      <c r="H163">
        <v>0.17811383325374999</v>
      </c>
      <c r="I163">
        <v>0.169067898933844</v>
      </c>
      <c r="J163">
        <v>0.14202300427043901</v>
      </c>
      <c r="K163">
        <v>0.12870114315386499</v>
      </c>
      <c r="L163">
        <v>0.123737084154367</v>
      </c>
      <c r="M163">
        <v>0.105478959980862</v>
      </c>
      <c r="N163">
        <v>8.6047066598134894E-2</v>
      </c>
      <c r="O163">
        <v>3.22310368295739E-2</v>
      </c>
      <c r="P163" t="s">
        <v>12</v>
      </c>
      <c r="Q163">
        <v>0.15323674117692501</v>
      </c>
      <c r="R163" t="s">
        <v>51</v>
      </c>
    </row>
    <row r="164" spans="1:18" x14ac:dyDescent="0.25">
      <c r="A164" t="s">
        <v>7</v>
      </c>
      <c r="B164" t="s">
        <v>7</v>
      </c>
      <c r="C164" t="s">
        <v>66</v>
      </c>
      <c r="D164" t="s">
        <v>67</v>
      </c>
      <c r="E164" t="s">
        <v>58</v>
      </c>
      <c r="F164">
        <v>0.41659815129403299</v>
      </c>
      <c r="G164">
        <v>0.21551550695375099</v>
      </c>
      <c r="H164">
        <v>0.18877670730813201</v>
      </c>
      <c r="I164">
        <v>0.16315329816537399</v>
      </c>
      <c r="J164">
        <v>0.145518581930803</v>
      </c>
      <c r="K164">
        <v>0.12109040878831701</v>
      </c>
      <c r="L164">
        <v>0.126616273200131</v>
      </c>
      <c r="M164">
        <v>0.110666429028095</v>
      </c>
      <c r="N164">
        <v>8.6047066598134894E-2</v>
      </c>
      <c r="O164">
        <v>3.5597497617945E-2</v>
      </c>
      <c r="P164" t="s">
        <v>40</v>
      </c>
      <c r="Q164">
        <v>0.111543282558121</v>
      </c>
      <c r="R164" t="s">
        <v>53</v>
      </c>
    </row>
    <row r="165" spans="1:18" x14ac:dyDescent="0.25">
      <c r="A165" t="s">
        <v>7</v>
      </c>
      <c r="B165" t="s">
        <v>7</v>
      </c>
      <c r="C165" t="s">
        <v>66</v>
      </c>
      <c r="D165" t="s">
        <v>67</v>
      </c>
      <c r="E165" t="s">
        <v>58</v>
      </c>
      <c r="F165">
        <v>0.61507818805079295</v>
      </c>
      <c r="G165">
        <v>0.26608010092390499</v>
      </c>
      <c r="H165">
        <v>0.255944744226202</v>
      </c>
      <c r="I165">
        <v>0.18615137451918501</v>
      </c>
      <c r="J165">
        <v>0.17610659733506601</v>
      </c>
      <c r="K165">
        <v>0.16166567028089299</v>
      </c>
      <c r="L165">
        <v>0.12980938548324999</v>
      </c>
      <c r="M165">
        <v>0.12097668483168</v>
      </c>
      <c r="N165">
        <v>8.6047066598134894E-2</v>
      </c>
      <c r="O165">
        <v>4.2376337928438298E-2</v>
      </c>
      <c r="P165" t="s">
        <v>41</v>
      </c>
      <c r="Q165">
        <v>0.22703501353243999</v>
      </c>
      <c r="R165" t="s">
        <v>54</v>
      </c>
    </row>
    <row r="166" spans="1:18" x14ac:dyDescent="0.25">
      <c r="A166" t="s">
        <v>7</v>
      </c>
      <c r="B166" t="s">
        <v>7</v>
      </c>
      <c r="C166" t="s">
        <v>66</v>
      </c>
      <c r="D166" t="s">
        <v>67</v>
      </c>
      <c r="E166" t="s">
        <v>58</v>
      </c>
      <c r="F166">
        <v>0.73899197892972501</v>
      </c>
      <c r="G166">
        <v>0.18804387565081601</v>
      </c>
      <c r="H166">
        <v>0.17342288810860901</v>
      </c>
      <c r="I166">
        <v>0.165678956993106</v>
      </c>
      <c r="J166">
        <v>0.13302049820397999</v>
      </c>
      <c r="K166">
        <v>0.12802481246290601</v>
      </c>
      <c r="L166">
        <v>0.120433993081643</v>
      </c>
      <c r="M166">
        <v>0.15560334345276899</v>
      </c>
      <c r="N166">
        <v>8.1870392284753901E-2</v>
      </c>
      <c r="O166">
        <v>3.22310368295739E-2</v>
      </c>
      <c r="P166" t="s">
        <v>13</v>
      </c>
      <c r="Q166">
        <v>0.16006117834818401</v>
      </c>
      <c r="R166" t="s">
        <v>51</v>
      </c>
    </row>
    <row r="167" spans="1:18" x14ac:dyDescent="0.25">
      <c r="A167" t="s">
        <v>7</v>
      </c>
      <c r="B167" t="s">
        <v>7</v>
      </c>
      <c r="C167" t="s">
        <v>66</v>
      </c>
      <c r="D167" t="s">
        <v>67</v>
      </c>
      <c r="E167" t="s">
        <v>58</v>
      </c>
      <c r="F167">
        <v>0.96102244565026795</v>
      </c>
      <c r="G167">
        <v>0.30396565317817098</v>
      </c>
      <c r="H167">
        <v>0.17516908205922799</v>
      </c>
      <c r="I167">
        <v>0.15201400155446301</v>
      </c>
      <c r="J167">
        <v>0.135279599043265</v>
      </c>
      <c r="K167">
        <v>0.15585634846327101</v>
      </c>
      <c r="L167">
        <v>0.11744412621405501</v>
      </c>
      <c r="M167">
        <v>0.14723298229827</v>
      </c>
      <c r="N167">
        <v>8.1790894603208805E-2</v>
      </c>
      <c r="O167">
        <v>3.5597497617945E-2</v>
      </c>
      <c r="P167" t="s">
        <v>42</v>
      </c>
      <c r="Q167">
        <v>0.134574240386095</v>
      </c>
      <c r="R167" t="s">
        <v>53</v>
      </c>
    </row>
    <row r="168" spans="1:18" x14ac:dyDescent="0.25">
      <c r="A168" t="s">
        <v>7</v>
      </c>
      <c r="B168" t="s">
        <v>7</v>
      </c>
      <c r="C168" t="s">
        <v>66</v>
      </c>
      <c r="D168" t="s">
        <v>67</v>
      </c>
      <c r="E168" t="s">
        <v>58</v>
      </c>
      <c r="F168">
        <v>1.3802684931015201</v>
      </c>
      <c r="G168">
        <v>0.272437866787759</v>
      </c>
      <c r="H168">
        <v>0.25249658325153601</v>
      </c>
      <c r="I168">
        <v>0.18586897519271101</v>
      </c>
      <c r="J168">
        <v>0.17206946826842401</v>
      </c>
      <c r="K168">
        <v>0.162700511166399</v>
      </c>
      <c r="L168">
        <v>0.125704351282176</v>
      </c>
      <c r="M168">
        <v>0.177681121197203</v>
      </c>
      <c r="N168">
        <v>8.3958729441444405E-2</v>
      </c>
      <c r="O168">
        <v>4.2376337928438298E-2</v>
      </c>
      <c r="P168" t="s">
        <v>43</v>
      </c>
      <c r="Q168">
        <v>0.427918475365268</v>
      </c>
      <c r="R168" t="s">
        <v>54</v>
      </c>
    </row>
    <row r="169" spans="1:18" x14ac:dyDescent="0.25">
      <c r="A169" t="s">
        <v>7</v>
      </c>
      <c r="B169" t="s">
        <v>7</v>
      </c>
      <c r="C169" t="s">
        <v>66</v>
      </c>
      <c r="D169" t="s">
        <v>67</v>
      </c>
      <c r="E169" t="s">
        <v>58</v>
      </c>
      <c r="F169">
        <v>0.46020190644733</v>
      </c>
      <c r="G169">
        <v>0.27749363116158299</v>
      </c>
      <c r="H169">
        <v>0.21522926948955701</v>
      </c>
      <c r="I169">
        <v>0.17287938150656099</v>
      </c>
      <c r="J169">
        <v>0.17287914456703499</v>
      </c>
      <c r="K169">
        <v>0.13556817621815101</v>
      </c>
      <c r="L169">
        <v>0.11301332823268199</v>
      </c>
      <c r="M169">
        <v>0.101219936730835</v>
      </c>
      <c r="N169">
        <v>7.3248076853473107E-2</v>
      </c>
      <c r="O169">
        <v>7.1488345788397495E-2</v>
      </c>
      <c r="P169" t="s">
        <v>14</v>
      </c>
      <c r="Q169">
        <v>0.20529978229505999</v>
      </c>
      <c r="R169" t="s">
        <v>51</v>
      </c>
    </row>
    <row r="170" spans="1:18" x14ac:dyDescent="0.25">
      <c r="A170" t="s">
        <v>7</v>
      </c>
      <c r="B170" t="s">
        <v>7</v>
      </c>
      <c r="C170" t="s">
        <v>66</v>
      </c>
      <c r="D170" t="s">
        <v>67</v>
      </c>
      <c r="E170" t="s">
        <v>58</v>
      </c>
      <c r="F170">
        <v>0.48183214136736402</v>
      </c>
      <c r="G170">
        <v>0.27749432039850103</v>
      </c>
      <c r="H170">
        <v>0.215229191398953</v>
      </c>
      <c r="I170">
        <v>0.17287928899421001</v>
      </c>
      <c r="J170">
        <v>0.17287927084395899</v>
      </c>
      <c r="K170">
        <v>0.13556810238863601</v>
      </c>
      <c r="L170">
        <v>0.113013254537251</v>
      </c>
      <c r="M170">
        <v>9.9246202623985105E-2</v>
      </c>
      <c r="N170">
        <v>7.3248076853473107E-2</v>
      </c>
      <c r="O170">
        <v>7.0116652382189906E-2</v>
      </c>
      <c r="P170" t="s">
        <v>44</v>
      </c>
      <c r="Q170">
        <v>0.12645711062029399</v>
      </c>
      <c r="R170" t="s">
        <v>53</v>
      </c>
    </row>
    <row r="171" spans="1:18" x14ac:dyDescent="0.25">
      <c r="A171" t="s">
        <v>7</v>
      </c>
      <c r="B171" t="s">
        <v>7</v>
      </c>
      <c r="C171" t="s">
        <v>66</v>
      </c>
      <c r="D171" t="s">
        <v>67</v>
      </c>
      <c r="E171" t="s">
        <v>58</v>
      </c>
      <c r="F171">
        <v>0.91211329692798004</v>
      </c>
      <c r="G171">
        <v>0.27749908051973998</v>
      </c>
      <c r="H171">
        <v>0.215231048443389</v>
      </c>
      <c r="I171">
        <v>0.17288062809170099</v>
      </c>
      <c r="J171">
        <v>0.17288007622197801</v>
      </c>
      <c r="K171">
        <v>0.135568558973096</v>
      </c>
      <c r="L171">
        <v>0.11301344090523301</v>
      </c>
      <c r="M171">
        <v>0.107116528659986</v>
      </c>
      <c r="N171">
        <v>7.3248076853473107E-2</v>
      </c>
      <c r="O171">
        <v>7.2397118747586101E-2</v>
      </c>
      <c r="P171" t="s">
        <v>45</v>
      </c>
      <c r="Q171">
        <v>0.25364657107673699</v>
      </c>
      <c r="R171" t="s">
        <v>54</v>
      </c>
    </row>
    <row r="172" spans="1:18" x14ac:dyDescent="0.25">
      <c r="A172" t="s">
        <v>7</v>
      </c>
      <c r="B172" t="s">
        <v>7</v>
      </c>
      <c r="C172" t="s">
        <v>66</v>
      </c>
      <c r="D172" t="s">
        <v>67</v>
      </c>
      <c r="E172" t="s">
        <v>58</v>
      </c>
      <c r="F172">
        <v>0.78333149766550803</v>
      </c>
      <c r="G172">
        <v>0.29414324903127798</v>
      </c>
      <c r="H172">
        <v>0.22814302565892999</v>
      </c>
      <c r="I172">
        <v>0.183252144396954</v>
      </c>
      <c r="J172">
        <v>0.18325189324105701</v>
      </c>
      <c r="K172">
        <v>0.14370226679124001</v>
      </c>
      <c r="L172">
        <v>0.13116130920362901</v>
      </c>
      <c r="M172">
        <v>0.16493954405993499</v>
      </c>
      <c r="N172">
        <v>9.1209890594022999E-2</v>
      </c>
      <c r="O172">
        <v>7.5777646535701404E-2</v>
      </c>
      <c r="P172" t="s">
        <v>15</v>
      </c>
      <c r="Q172">
        <v>0.21761776923276299</v>
      </c>
      <c r="R172" t="s">
        <v>51</v>
      </c>
    </row>
    <row r="173" spans="1:18" x14ac:dyDescent="0.25">
      <c r="A173" t="s">
        <v>7</v>
      </c>
      <c r="B173" t="s">
        <v>7</v>
      </c>
      <c r="C173" t="s">
        <v>66</v>
      </c>
      <c r="D173" t="s">
        <v>67</v>
      </c>
      <c r="E173" t="s">
        <v>58</v>
      </c>
      <c r="F173">
        <v>1.01868379238928</v>
      </c>
      <c r="G173">
        <v>0.32220359236886098</v>
      </c>
      <c r="H173">
        <v>0.22814294288289</v>
      </c>
      <c r="I173">
        <v>0.183252046333862</v>
      </c>
      <c r="J173">
        <v>0.18325202709459701</v>
      </c>
      <c r="K173">
        <v>0.16520772937106801</v>
      </c>
      <c r="L173">
        <v>0.13421324959213901</v>
      </c>
      <c r="M173">
        <v>0.15606696123616701</v>
      </c>
      <c r="N173">
        <v>9.1209890594022999E-2</v>
      </c>
      <c r="O173">
        <v>7.4323651525121395E-2</v>
      </c>
      <c r="P173" t="s">
        <v>46</v>
      </c>
      <c r="Q173">
        <v>0.14264869480926001</v>
      </c>
      <c r="R173" t="s">
        <v>53</v>
      </c>
    </row>
    <row r="174" spans="1:18" x14ac:dyDescent="0.25">
      <c r="A174" t="s">
        <v>7</v>
      </c>
      <c r="B174" t="s">
        <v>7</v>
      </c>
      <c r="C174" t="s">
        <v>66</v>
      </c>
      <c r="D174" t="s">
        <v>67</v>
      </c>
      <c r="E174" t="s">
        <v>58</v>
      </c>
      <c r="F174">
        <v>1.4630846026876101</v>
      </c>
      <c r="G174">
        <v>0.29414902535092502</v>
      </c>
      <c r="H174">
        <v>0.27130142887977499</v>
      </c>
      <c r="I174">
        <v>0.19732045699033701</v>
      </c>
      <c r="J174">
        <v>0.18667299317517</v>
      </c>
      <c r="K174">
        <v>0.17246254183638199</v>
      </c>
      <c r="L174">
        <v>0.137597948612245</v>
      </c>
      <c r="M174">
        <v>0.18834198846903499</v>
      </c>
      <c r="N174">
        <v>9.1209890594022999E-2</v>
      </c>
      <c r="O174">
        <v>7.6740945872441305E-2</v>
      </c>
      <c r="P174" t="s">
        <v>47</v>
      </c>
      <c r="Q174">
        <v>0.45359358388718402</v>
      </c>
      <c r="R174" t="s">
        <v>54</v>
      </c>
    </row>
    <row r="175" spans="1:18" x14ac:dyDescent="0.25">
      <c r="A175" t="s">
        <v>7</v>
      </c>
      <c r="B175" t="s">
        <v>7</v>
      </c>
      <c r="C175" t="s">
        <v>66</v>
      </c>
      <c r="D175" t="s">
        <v>67</v>
      </c>
      <c r="E175" t="s">
        <v>58</v>
      </c>
      <c r="P175" t="s">
        <v>48</v>
      </c>
      <c r="Q175">
        <v>0.14264869480926001</v>
      </c>
      <c r="R175" t="s">
        <v>64</v>
      </c>
    </row>
    <row r="176" spans="1:18" x14ac:dyDescent="0.25">
      <c r="A176" t="s">
        <v>7</v>
      </c>
      <c r="B176" t="s">
        <v>7</v>
      </c>
      <c r="C176" t="s">
        <v>66</v>
      </c>
      <c r="D176" t="s">
        <v>67</v>
      </c>
      <c r="E176" t="s">
        <v>58</v>
      </c>
      <c r="P176" t="s">
        <v>49</v>
      </c>
      <c r="Q176">
        <v>0.21761776923276299</v>
      </c>
      <c r="R176" t="s">
        <v>64</v>
      </c>
    </row>
    <row r="177" spans="1:18" x14ac:dyDescent="0.25">
      <c r="A177" t="s">
        <v>7</v>
      </c>
      <c r="B177" t="s">
        <v>7</v>
      </c>
      <c r="C177" t="s">
        <v>66</v>
      </c>
      <c r="D177" t="s">
        <v>67</v>
      </c>
      <c r="E177" t="s">
        <v>58</v>
      </c>
      <c r="P177" t="s">
        <v>65</v>
      </c>
      <c r="Q177">
        <v>0.45359358388718402</v>
      </c>
      <c r="R177" t="s">
        <v>64</v>
      </c>
    </row>
    <row r="178" spans="1:18" x14ac:dyDescent="0.25">
      <c r="A178" t="s">
        <v>71</v>
      </c>
      <c r="B178" t="s">
        <v>8</v>
      </c>
      <c r="C178" t="s">
        <v>66</v>
      </c>
      <c r="D178" t="s">
        <v>67</v>
      </c>
      <c r="E178" t="s">
        <v>58</v>
      </c>
      <c r="F178">
        <v>0.33818688679245201</v>
      </c>
      <c r="G178">
        <v>0.30832726415094303</v>
      </c>
      <c r="H178">
        <v>0.23914358490566001</v>
      </c>
      <c r="I178">
        <v>0.18848886792452799</v>
      </c>
      <c r="J178">
        <v>0.18848886792452799</v>
      </c>
      <c r="K178">
        <v>0.15063113207547099</v>
      </c>
      <c r="L178">
        <v>0.12557037735849</v>
      </c>
      <c r="M178">
        <v>0.12557037735849</v>
      </c>
      <c r="N178">
        <v>0.12557037735849</v>
      </c>
      <c r="O178">
        <v>0.12557037735849</v>
      </c>
      <c r="P178" t="s">
        <v>29</v>
      </c>
      <c r="R178" t="s">
        <v>61</v>
      </c>
    </row>
    <row r="179" spans="1:18" x14ac:dyDescent="0.25">
      <c r="A179" t="s">
        <v>8</v>
      </c>
      <c r="B179" t="s">
        <v>8</v>
      </c>
      <c r="C179" t="s">
        <v>66</v>
      </c>
      <c r="D179" t="s">
        <v>67</v>
      </c>
      <c r="E179" t="s">
        <v>58</v>
      </c>
      <c r="F179">
        <v>0.60391270661156904</v>
      </c>
      <c r="G179">
        <v>0.17687787308658201</v>
      </c>
      <c r="H179">
        <v>0.18228501510342901</v>
      </c>
      <c r="I179">
        <v>0.165677683079964</v>
      </c>
      <c r="J179">
        <v>0.166856172157235</v>
      </c>
      <c r="K179">
        <v>0.13033999832708101</v>
      </c>
      <c r="L179">
        <v>0.12883459366147801</v>
      </c>
      <c r="M179">
        <v>9.82075363718804E-2</v>
      </c>
      <c r="N179">
        <v>0.112526777921768</v>
      </c>
      <c r="P179" t="s">
        <v>12</v>
      </c>
      <c r="Q179">
        <v>0.17213326446280899</v>
      </c>
      <c r="R179" t="s">
        <v>51</v>
      </c>
    </row>
    <row r="180" spans="1:18" x14ac:dyDescent="0.25">
      <c r="A180" t="s">
        <v>8</v>
      </c>
      <c r="B180" t="s">
        <v>8</v>
      </c>
      <c r="C180" t="s">
        <v>66</v>
      </c>
      <c r="D180" t="s">
        <v>67</v>
      </c>
      <c r="E180" t="s">
        <v>58</v>
      </c>
      <c r="F180">
        <v>0.79520965825568402</v>
      </c>
      <c r="G180">
        <v>0.213524023716504</v>
      </c>
      <c r="H180">
        <v>0.213588738225512</v>
      </c>
      <c r="I180">
        <v>0.146811565653962</v>
      </c>
      <c r="J180">
        <v>0.12954149485584501</v>
      </c>
      <c r="K180">
        <v>0.11558435408701501</v>
      </c>
      <c r="L180">
        <v>0.42014406382237901</v>
      </c>
      <c r="M180">
        <v>0.104995672789399</v>
      </c>
      <c r="N180">
        <v>0.112526777921768</v>
      </c>
      <c r="P180" t="s">
        <v>40</v>
      </c>
      <c r="Q180">
        <v>0.16092622769786799</v>
      </c>
      <c r="R180" t="s">
        <v>53</v>
      </c>
    </row>
    <row r="181" spans="1:18" x14ac:dyDescent="0.25">
      <c r="A181" t="s">
        <v>8</v>
      </c>
      <c r="B181" t="s">
        <v>8</v>
      </c>
      <c r="C181" t="s">
        <v>66</v>
      </c>
      <c r="D181" t="s">
        <v>67</v>
      </c>
      <c r="E181" t="s">
        <v>58</v>
      </c>
      <c r="F181">
        <v>6.4847107438016502</v>
      </c>
      <c r="G181">
        <v>0.25710608801065898</v>
      </c>
      <c r="H181">
        <v>0.25297659082333901</v>
      </c>
      <c r="I181">
        <v>0.171573376773723</v>
      </c>
      <c r="J181">
        <v>0.180212964558468</v>
      </c>
      <c r="K181">
        <v>0.16845335602887501</v>
      </c>
      <c r="L181">
        <v>0.168980532773361</v>
      </c>
      <c r="M181">
        <v>0.129913235650576</v>
      </c>
      <c r="N181">
        <v>0.112526777921768</v>
      </c>
      <c r="P181" t="s">
        <v>41</v>
      </c>
      <c r="Q181">
        <v>0.42416016287750202</v>
      </c>
      <c r="R181" t="s">
        <v>54</v>
      </c>
    </row>
    <row r="182" spans="1:18" x14ac:dyDescent="0.25">
      <c r="A182" t="s">
        <v>8</v>
      </c>
      <c r="B182" t="s">
        <v>8</v>
      </c>
      <c r="C182" t="s">
        <v>66</v>
      </c>
      <c r="D182" t="s">
        <v>67</v>
      </c>
      <c r="E182" t="s">
        <v>58</v>
      </c>
      <c r="F182">
        <v>0.50174017984553099</v>
      </c>
      <c r="G182">
        <v>0.17745715524434699</v>
      </c>
      <c r="H182">
        <v>0.17245371816803801</v>
      </c>
      <c r="I182">
        <v>0.15642563886282801</v>
      </c>
      <c r="J182">
        <v>0.133732784948248</v>
      </c>
      <c r="K182">
        <v>0.125794020028305</v>
      </c>
      <c r="L182">
        <v>0.110157926265582</v>
      </c>
      <c r="M182">
        <v>9.82075363718804E-2</v>
      </c>
      <c r="N182">
        <v>5.5746136132496502E-2</v>
      </c>
      <c r="O182">
        <v>0.1098839117715</v>
      </c>
      <c r="P182" t="s">
        <v>13</v>
      </c>
      <c r="Q182">
        <v>0.15423355366698099</v>
      </c>
      <c r="R182" t="s">
        <v>51</v>
      </c>
    </row>
    <row r="183" spans="1:18" x14ac:dyDescent="0.25">
      <c r="A183" t="s">
        <v>8</v>
      </c>
      <c r="B183" t="s">
        <v>8</v>
      </c>
      <c r="C183" t="s">
        <v>66</v>
      </c>
      <c r="D183" t="s">
        <v>67</v>
      </c>
      <c r="E183" t="s">
        <v>58</v>
      </c>
      <c r="F183">
        <v>0.653195143155476</v>
      </c>
      <c r="G183">
        <v>0.20221644921809001</v>
      </c>
      <c r="H183">
        <v>0.175428443769371</v>
      </c>
      <c r="I183">
        <v>0.15361856084249001</v>
      </c>
      <c r="J183">
        <v>0.104477468230478</v>
      </c>
      <c r="K183">
        <v>0.12296062790527</v>
      </c>
      <c r="L183">
        <v>0.358384981859247</v>
      </c>
      <c r="M183">
        <v>0.122794436403</v>
      </c>
      <c r="N183">
        <v>0.105248269460907</v>
      </c>
      <c r="O183">
        <v>0.108783318570728</v>
      </c>
      <c r="P183" t="s">
        <v>42</v>
      </c>
      <c r="Q183">
        <v>0.13449716366599701</v>
      </c>
      <c r="R183" t="s">
        <v>53</v>
      </c>
    </row>
    <row r="184" spans="1:18" x14ac:dyDescent="0.25">
      <c r="A184" t="s">
        <v>8</v>
      </c>
      <c r="B184" t="s">
        <v>8</v>
      </c>
      <c r="C184" t="s">
        <v>66</v>
      </c>
      <c r="D184" t="s">
        <v>67</v>
      </c>
      <c r="E184" t="s">
        <v>58</v>
      </c>
      <c r="F184">
        <v>2.0972579206494202</v>
      </c>
      <c r="G184">
        <v>0.24816207300502699</v>
      </c>
      <c r="H184">
        <v>0.248751541476636</v>
      </c>
      <c r="I184">
        <v>0.17511086200359299</v>
      </c>
      <c r="J184">
        <v>0.17258842224248599</v>
      </c>
      <c r="K184">
        <v>0.17181571910974699</v>
      </c>
      <c r="L184">
        <v>0.145706690047954</v>
      </c>
      <c r="M184">
        <v>0.13153371965521601</v>
      </c>
      <c r="N184">
        <v>0.112526777921768</v>
      </c>
      <c r="O184">
        <v>0.13431705433253999</v>
      </c>
      <c r="P184" t="s">
        <v>43</v>
      </c>
      <c r="Q184">
        <v>0.37761735445174699</v>
      </c>
      <c r="R184" t="s">
        <v>54</v>
      </c>
    </row>
    <row r="185" spans="1:18" x14ac:dyDescent="0.25">
      <c r="A185" t="s">
        <v>8</v>
      </c>
      <c r="B185" t="s">
        <v>8</v>
      </c>
      <c r="C185" t="s">
        <v>66</v>
      </c>
      <c r="D185" t="s">
        <v>67</v>
      </c>
      <c r="E185" t="s">
        <v>58</v>
      </c>
      <c r="F185">
        <v>1.0035716013591101</v>
      </c>
      <c r="G185">
        <v>0.27749269243260699</v>
      </c>
      <c r="H185">
        <v>0.21522915178115601</v>
      </c>
      <c r="I185">
        <v>0.16963956957065199</v>
      </c>
      <c r="J185">
        <v>0.169639990558552</v>
      </c>
      <c r="K185">
        <v>0.13556829092323899</v>
      </c>
      <c r="L185">
        <v>0.11301328272299201</v>
      </c>
      <c r="M185">
        <v>9.68722967531431E-2</v>
      </c>
      <c r="N185">
        <v>7.0354521782370297E-2</v>
      </c>
      <c r="P185" t="s">
        <v>14</v>
      </c>
      <c r="Q185">
        <v>0.23124720893141901</v>
      </c>
      <c r="R185" t="s">
        <v>51</v>
      </c>
    </row>
    <row r="186" spans="1:18" x14ac:dyDescent="0.25">
      <c r="A186" t="s">
        <v>8</v>
      </c>
      <c r="B186" t="s">
        <v>8</v>
      </c>
      <c r="C186" t="s">
        <v>66</v>
      </c>
      <c r="D186" t="s">
        <v>67</v>
      </c>
      <c r="E186" t="s">
        <v>58</v>
      </c>
      <c r="F186">
        <v>0.72898976434859197</v>
      </c>
      <c r="G186">
        <v>0.27749340814620399</v>
      </c>
      <c r="H186">
        <v>0.21522915002904899</v>
      </c>
      <c r="I186">
        <v>0.16963966523589699</v>
      </c>
      <c r="J186">
        <v>0.16964002209954199</v>
      </c>
      <c r="K186">
        <v>0.13556816358439799</v>
      </c>
      <c r="L186">
        <v>0.113013339113332</v>
      </c>
      <c r="M186">
        <v>9.9930892769300006E-2</v>
      </c>
      <c r="N186">
        <v>7.0354521782370297E-2</v>
      </c>
      <c r="P186" t="s">
        <v>44</v>
      </c>
      <c r="Q186">
        <v>0.13614820244810699</v>
      </c>
      <c r="R186" t="s">
        <v>53</v>
      </c>
    </row>
    <row r="187" spans="1:18" x14ac:dyDescent="0.25">
      <c r="A187" t="s">
        <v>8</v>
      </c>
      <c r="B187" t="s">
        <v>8</v>
      </c>
      <c r="C187" t="s">
        <v>66</v>
      </c>
      <c r="D187" t="s">
        <v>67</v>
      </c>
      <c r="E187" t="s">
        <v>58</v>
      </c>
      <c r="F187">
        <v>3.4837068099158701</v>
      </c>
      <c r="G187">
        <v>0.27749795082909001</v>
      </c>
      <c r="H187">
        <v>0.21523029456120099</v>
      </c>
      <c r="I187">
        <v>0.16964096387354499</v>
      </c>
      <c r="J187">
        <v>0.16964081945439</v>
      </c>
      <c r="K187">
        <v>0.13556872233956499</v>
      </c>
      <c r="L187">
        <v>0.113013656547404</v>
      </c>
      <c r="M187">
        <v>0.10706935069526601</v>
      </c>
      <c r="N187">
        <v>7.0354521782370297E-2</v>
      </c>
      <c r="P187" t="s">
        <v>45</v>
      </c>
      <c r="Q187">
        <v>0.61563791322313999</v>
      </c>
      <c r="R187" t="s">
        <v>54</v>
      </c>
    </row>
    <row r="188" spans="1:18" x14ac:dyDescent="0.25">
      <c r="A188" t="s">
        <v>8</v>
      </c>
      <c r="B188" t="s">
        <v>8</v>
      </c>
      <c r="C188" t="s">
        <v>66</v>
      </c>
      <c r="D188" t="s">
        <v>67</v>
      </c>
      <c r="E188" t="s">
        <v>58</v>
      </c>
      <c r="F188">
        <v>1.06378589744065</v>
      </c>
      <c r="G188">
        <v>0.29414225397856297</v>
      </c>
      <c r="H188">
        <v>0.228142900888025</v>
      </c>
      <c r="I188">
        <v>0.17981794374489099</v>
      </c>
      <c r="J188">
        <v>0.17981838999206501</v>
      </c>
      <c r="K188">
        <v>0.143702388378633</v>
      </c>
      <c r="L188">
        <v>0.13656466928116601</v>
      </c>
      <c r="M188">
        <v>0.104099988554193</v>
      </c>
      <c r="N188">
        <v>0.119278384597074</v>
      </c>
      <c r="O188">
        <v>0.11647694647779</v>
      </c>
      <c r="P188" t="s">
        <v>15</v>
      </c>
      <c r="Q188">
        <v>0.24512204146730401</v>
      </c>
      <c r="R188" t="s">
        <v>51</v>
      </c>
    </row>
    <row r="189" spans="1:18" x14ac:dyDescent="0.25">
      <c r="A189" t="s">
        <v>8</v>
      </c>
      <c r="B189" t="s">
        <v>8</v>
      </c>
      <c r="C189" t="s">
        <v>66</v>
      </c>
      <c r="D189" t="s">
        <v>67</v>
      </c>
      <c r="E189" t="s">
        <v>58</v>
      </c>
      <c r="F189">
        <v>0.84292223775102604</v>
      </c>
      <c r="G189">
        <v>0.294143012634976</v>
      </c>
      <c r="H189">
        <v>0.22814289903079199</v>
      </c>
      <c r="I189">
        <v>0.17981804515005001</v>
      </c>
      <c r="J189">
        <v>0.17981842342551399</v>
      </c>
      <c r="K189">
        <v>0.14370225339946099</v>
      </c>
      <c r="L189">
        <v>0.44535270765172202</v>
      </c>
      <c r="M189">
        <v>0.13016210258718</v>
      </c>
      <c r="N189">
        <v>0.119278384597074</v>
      </c>
      <c r="O189">
        <v>0.11531031768497101</v>
      </c>
      <c r="P189" t="s">
        <v>46</v>
      </c>
      <c r="Q189">
        <v>0.17058180135973999</v>
      </c>
      <c r="R189" t="s">
        <v>53</v>
      </c>
    </row>
    <row r="190" spans="1:18" x14ac:dyDescent="0.25">
      <c r="A190" t="s">
        <v>8</v>
      </c>
      <c r="B190" t="s">
        <v>8</v>
      </c>
      <c r="C190" t="s">
        <v>66</v>
      </c>
      <c r="D190" t="s">
        <v>67</v>
      </c>
      <c r="E190" t="s">
        <v>58</v>
      </c>
      <c r="F190">
        <v>6.8737933884297497</v>
      </c>
      <c r="G190">
        <v>0.29414782787883598</v>
      </c>
      <c r="H190">
        <v>0.26815518627273899</v>
      </c>
      <c r="I190">
        <v>0.185617513723809</v>
      </c>
      <c r="J190">
        <v>0.19102574243197701</v>
      </c>
      <c r="K190">
        <v>0.182124662256332</v>
      </c>
      <c r="L190">
        <v>0.179119364739763</v>
      </c>
      <c r="M190">
        <v>0.13942574283452899</v>
      </c>
      <c r="N190">
        <v>0.119278384597074</v>
      </c>
      <c r="O190">
        <v>0.14237607759249199</v>
      </c>
      <c r="P190" t="s">
        <v>47</v>
      </c>
      <c r="Q190">
        <v>0.65257618801652795</v>
      </c>
      <c r="R190" t="s">
        <v>54</v>
      </c>
    </row>
    <row r="191" spans="1:18" x14ac:dyDescent="0.25">
      <c r="A191" t="s">
        <v>8</v>
      </c>
      <c r="B191" t="s">
        <v>8</v>
      </c>
      <c r="C191" t="s">
        <v>66</v>
      </c>
      <c r="D191" t="s">
        <v>67</v>
      </c>
      <c r="E191" t="s">
        <v>58</v>
      </c>
      <c r="P191" t="s">
        <v>48</v>
      </c>
      <c r="Q191">
        <v>0.17058180135973999</v>
      </c>
      <c r="R191" t="s">
        <v>64</v>
      </c>
    </row>
    <row r="192" spans="1:18" x14ac:dyDescent="0.25">
      <c r="A192" t="s">
        <v>8</v>
      </c>
      <c r="B192" t="s">
        <v>8</v>
      </c>
      <c r="C192" t="s">
        <v>66</v>
      </c>
      <c r="D192" t="s">
        <v>67</v>
      </c>
      <c r="E192" t="s">
        <v>58</v>
      </c>
      <c r="P192" t="s">
        <v>49</v>
      </c>
      <c r="Q192">
        <v>0.24512204146730401</v>
      </c>
      <c r="R192" t="s">
        <v>64</v>
      </c>
    </row>
    <row r="193" spans="1:18" x14ac:dyDescent="0.25">
      <c r="A193" t="s">
        <v>8</v>
      </c>
      <c r="B193" t="s">
        <v>8</v>
      </c>
      <c r="C193" t="s">
        <v>66</v>
      </c>
      <c r="D193" t="s">
        <v>67</v>
      </c>
      <c r="E193" t="s">
        <v>58</v>
      </c>
      <c r="P193" t="s">
        <v>65</v>
      </c>
      <c r="Q193">
        <v>0.65257618801652795</v>
      </c>
      <c r="R193" t="s">
        <v>64</v>
      </c>
    </row>
  </sheetData>
  <autoFilter ref="A1:R1" xr:uid="{7C0022F2-CCB3-4621-8274-2FA5DB1039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all_invoice_data</vt:lpstr>
      <vt:lpstr>stats</vt:lpstr>
      <vt:lpstr>rates_table_data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Zhuwaki</dc:creator>
  <cp:lastModifiedBy>Nigel Zhuwaki</cp:lastModifiedBy>
  <dcterms:created xsi:type="dcterms:W3CDTF">2025-06-20T17:47:12Z</dcterms:created>
  <dcterms:modified xsi:type="dcterms:W3CDTF">2025-06-23T11:55:33Z</dcterms:modified>
</cp:coreProperties>
</file>